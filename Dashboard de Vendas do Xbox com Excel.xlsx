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idiane Amaral\Downloads\"/>
    </mc:Choice>
  </mc:AlternateContent>
  <xr:revisionPtr revIDLastSave="0" documentId="13_ncr:1_{CA8FE830-FAB8-46D2-9F0D-E5526B4389BD}" xr6:coauthVersionLast="47" xr6:coauthVersionMax="47" xr10:uidLastSave="{00000000-0000-0000-0000-000000000000}"/>
  <bookViews>
    <workbookView xWindow="-108" yWindow="-108" windowWidth="23256" windowHeight="12456" firstSheet="1" activeTab="1" xr2:uid="{FB1D121C-1E88-4950-AFA9-5145B5D00C93}"/>
  </bookViews>
  <sheets>
    <sheet name="Calculos" sheetId="1" state="hidden" r:id="rId1"/>
    <sheet name="Dashboard" sheetId="2" r:id="rId2"/>
    <sheet name="Planilha3" sheetId="3" state="hidden" r:id="rId3"/>
  </sheets>
  <externalReferences>
    <externalReference r:id="rId4"/>
  </externalReferences>
  <definedNames>
    <definedName name="SegmentaçãodeDados_Subscription_Type">#N/A</definedName>
  </definedNames>
  <calcPr calcId="191029"/>
  <pivotCaches>
    <pivotCache cacheId="1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5" i="1" l="1"/>
  <c r="G24" i="1"/>
</calcChain>
</file>

<file path=xl/sharedStrings.xml><?xml version="1.0" encoding="utf-8"?>
<sst xmlns="http://schemas.openxmlformats.org/spreadsheetml/2006/main" count="27" uniqueCount="16">
  <si>
    <t>Subscription Type</t>
  </si>
  <si>
    <t>Rótulos de Linha</t>
  </si>
  <si>
    <t>Total Geral</t>
  </si>
  <si>
    <t>Quarterly</t>
  </si>
  <si>
    <t>Soma de Total Value</t>
  </si>
  <si>
    <t>No</t>
  </si>
  <si>
    <t>Yes</t>
  </si>
  <si>
    <t xml:space="preserve">Pergunta de negocio 03- Total de vendas de assinaturas do AE Play </t>
  </si>
  <si>
    <t>Core</t>
  </si>
  <si>
    <t>Standard</t>
  </si>
  <si>
    <t>Ultimate</t>
  </si>
  <si>
    <t>Soma de EA Play Season Pass</t>
  </si>
  <si>
    <t xml:space="preserve">Pergunta de negocio 04- Total de vendas de assinaturas Minecraft Season Pass </t>
  </si>
  <si>
    <t>Soma de Minecraft Season Pass Price</t>
  </si>
  <si>
    <t xml:space="preserve">             XBOX GAME PASS SUBSCRIPTIONS SALES</t>
  </si>
  <si>
    <t>Calculation period: 01/01/2024 - 31/12/2024 |Update date: 12/09/2026 17:09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</si>
</sst>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rgb="FF2AE6B1"/>
      <name val="Segoe UI"/>
      <family val="2"/>
    </font>
    <font>
      <i/>
      <sz val="9"/>
      <color theme="2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AE6B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2" borderId="0" xfId="0" applyFill="1"/>
    <xf numFmtId="0" fontId="0" fillId="3" borderId="0" xfId="0" applyFill="1"/>
    <xf numFmtId="0" fontId="4" fillId="0" borderId="2" xfId="2" applyFont="1" applyBorder="1" applyAlignment="1">
      <alignment vertical="center"/>
    </xf>
    <xf numFmtId="0" fontId="0" fillId="0" borderId="0" xfId="0" applyNumberFormat="1"/>
    <xf numFmtId="44" fontId="0" fillId="0" borderId="0" xfId="1" applyFont="1"/>
    <xf numFmtId="0" fontId="3" fillId="2" borderId="0" xfId="0" applyFont="1" applyFill="1"/>
    <xf numFmtId="0" fontId="5" fillId="0" borderId="0" xfId="0" applyFont="1"/>
  </cellXfs>
  <cellStyles count="3">
    <cellStyle name="Moeda" xfId="1" builtinId="4"/>
    <cellStyle name="Normal" xfId="0" builtinId="0"/>
    <cellStyle name="Título 1" xfId="2" builtinId="16"/>
  </cellStyles>
  <dxfs count="2"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Dark6 2" pivot="0" table="0" count="10" xr9:uid="{1C9E50BA-D463-4418-90F9-1192B51BC8F6}">
      <tableStyleElement type="wholeTable" dxfId="1"/>
      <tableStyleElement type="headerRow" dxfId="0"/>
    </tableStyle>
  </tableStyles>
  <colors>
    <mruColors>
      <color rgb="FF5BF6A8"/>
      <color rgb="FF2AE6B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do Xbox com Excel.xlsx]Calculos!tbl_anual_total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7926072218709606E-2"/>
          <c:y val="1.9153472241962531E-2"/>
          <c:w val="0.93412058349159122"/>
          <c:h val="0.925625609975648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2B-4EFB-930C-819A2D4E9A98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2B-4EFB-930C-819A2D4E9A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Calculos!$C$11:$C$13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2B-4EFB-930C-819A2D4E9A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68808728"/>
        <c:axId val="668811248"/>
      </c:barChart>
      <c:catAx>
        <c:axId val="668808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8811248"/>
        <c:crosses val="autoZero"/>
        <c:auto val="1"/>
        <c:lblAlgn val="ctr"/>
        <c:lblOffset val="100"/>
        <c:noMultiLvlLbl val="0"/>
      </c:catAx>
      <c:valAx>
        <c:axId val="66881124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6880872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217</c:v>
              </c:pt>
              <c:pt idx="1">
                <c:v>1537</c:v>
              </c:pt>
            </c:numLit>
          </c:val>
          <c:extLst>
            <c:ext xmlns:c16="http://schemas.microsoft.com/office/drawing/2014/chart" uri="{C3380CC4-5D6E-409C-BE32-E72D297353CC}">
              <c16:uniqueId val="{00000000-CBA9-4E1F-806C-93BFA0F53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6.png"/><Relationship Id="rId5" Type="http://schemas.openxmlformats.org/officeDocument/2006/relationships/chart" Target="../charts/chart2.xml"/><Relationship Id="rId4" Type="http://schemas.openxmlformats.org/officeDocument/2006/relationships/image" Target="../media/image5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68580</xdr:colOff>
      <xdr:row>1</xdr:row>
      <xdr:rowOff>30480</xdr:rowOff>
    </xdr:from>
    <xdr:to>
      <xdr:col>2</xdr:col>
      <xdr:colOff>164832</xdr:colOff>
      <xdr:row>4</xdr:row>
      <xdr:rowOff>45720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9B27559-0E73-443F-B7EA-A7079C40FF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12" t="20295" r="71626" b="21864"/>
        <a:stretch>
          <a:fillRect/>
        </a:stretch>
      </xdr:blipFill>
      <xdr:spPr>
        <a:xfrm>
          <a:off x="1813560" y="213360"/>
          <a:ext cx="705852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167640</xdr:rowOff>
    </xdr:from>
    <xdr:to>
      <xdr:col>1</xdr:col>
      <xdr:colOff>0</xdr:colOff>
      <xdr:row>25</xdr:row>
      <xdr:rowOff>15239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685CEC9A-3BEC-4DE8-9D3E-5D67118464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118360"/>
              <a:ext cx="1744980" cy="25907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342900</xdr:colOff>
      <xdr:row>5</xdr:row>
      <xdr:rowOff>72390</xdr:rowOff>
    </xdr:from>
    <xdr:to>
      <xdr:col>8</xdr:col>
      <xdr:colOff>373380</xdr:colOff>
      <xdr:row>13</xdr:row>
      <xdr:rowOff>41602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7D37B71C-090C-8A52-B385-CC109AA543E4}"/>
            </a:ext>
          </a:extLst>
        </xdr:cNvPr>
        <xdr:cNvGrpSpPr/>
      </xdr:nvGrpSpPr>
      <xdr:grpSpPr>
        <a:xfrm>
          <a:off x="2087880" y="1108710"/>
          <a:ext cx="4297680" cy="1432252"/>
          <a:chOff x="2156460" y="899160"/>
          <a:chExt cx="3857535" cy="1432252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D4ED1F3E-3D45-91C3-6FFF-1AA76730A26E}"/>
              </a:ext>
            </a:extLst>
          </xdr:cNvPr>
          <xdr:cNvSpPr/>
        </xdr:nvSpPr>
        <xdr:spPr>
          <a:xfrm>
            <a:off x="2186940" y="899160"/>
            <a:ext cx="3825240" cy="135636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alculos!U45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BC7CA987-829A-44B1-9044-FD6C486D6B10}"/>
              </a:ext>
            </a:extLst>
          </xdr:cNvPr>
          <xdr:cNvSpPr/>
        </xdr:nvSpPr>
        <xdr:spPr>
          <a:xfrm>
            <a:off x="3520440" y="1363980"/>
            <a:ext cx="2423160" cy="8763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BF90C03-46ED-4AD9-8814-B7ED387E36F8}" type="TxLink">
              <a:rPr lang="en-US" sz="2800" b="0" i="0" u="none" strike="noStrike">
                <a:solidFill>
                  <a:srgbClr val="5BF6A8"/>
                </a:solidFill>
                <a:latin typeface="Calibri"/>
                <a:ea typeface="Calibri"/>
                <a:cs typeface="Calibri"/>
              </a:rPr>
              <a:pPr algn="ctr"/>
              <a:t> </a:t>
            </a:fld>
            <a:endParaRPr lang="en-US" sz="2800">
              <a:solidFill>
                <a:srgbClr val="5BF6A8"/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475A24C2-D538-461D-8CD3-6F35C379D1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24100" y="1150620"/>
            <a:ext cx="1223565" cy="1180792"/>
          </a:xfrm>
          <a:prstGeom prst="rect">
            <a:avLst/>
          </a:prstGeom>
        </xdr:spPr>
      </xdr:pic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101BB87F-E739-6EEE-6AB0-29A415021583}"/>
              </a:ext>
            </a:extLst>
          </xdr:cNvPr>
          <xdr:cNvSpPr/>
        </xdr:nvSpPr>
        <xdr:spPr>
          <a:xfrm>
            <a:off x="2156460" y="906780"/>
            <a:ext cx="3857535" cy="281940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TOTAL </a:t>
            </a:r>
            <a:r>
              <a:rPr lang="pt-BR" sz="1100" b="1"/>
              <a:t>SUBSCRIPITIONS</a:t>
            </a:r>
            <a:r>
              <a:rPr lang="pt-BR" sz="1100" baseline="0"/>
              <a:t> AE PLAY SEASON PASS</a:t>
            </a:r>
            <a:endParaRPr lang="pt-BR" sz="1100"/>
          </a:p>
        </xdr:txBody>
      </xdr:sp>
    </xdr:grpSp>
    <xdr:clientData/>
  </xdr:twoCellAnchor>
  <xdr:twoCellAnchor>
    <xdr:from>
      <xdr:col>9</xdr:col>
      <xdr:colOff>175260</xdr:colOff>
      <xdr:row>5</xdr:row>
      <xdr:rowOff>56996</xdr:rowOff>
    </xdr:from>
    <xdr:to>
      <xdr:col>16</xdr:col>
      <xdr:colOff>114300</xdr:colOff>
      <xdr:row>12</xdr:row>
      <xdr:rowOff>133196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55B1DE30-8C69-65B6-A4C2-C79EC7FFB1F9}"/>
            </a:ext>
          </a:extLst>
        </xdr:cNvPr>
        <xdr:cNvGrpSpPr/>
      </xdr:nvGrpSpPr>
      <xdr:grpSpPr>
        <a:xfrm>
          <a:off x="6797040" y="1093316"/>
          <a:ext cx="4206240" cy="1356360"/>
          <a:chOff x="6743700" y="918056"/>
          <a:chExt cx="4206240" cy="1356360"/>
        </a:xfrm>
      </xdr:grpSpPr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485FA7AF-E0D2-C149-E369-B08FCA31C102}"/>
              </a:ext>
            </a:extLst>
          </xdr:cNvPr>
          <xdr:cNvGrpSpPr/>
        </xdr:nvGrpSpPr>
        <xdr:grpSpPr>
          <a:xfrm>
            <a:off x="6743700" y="918056"/>
            <a:ext cx="4206240" cy="1356360"/>
            <a:chOff x="6332220" y="891540"/>
            <a:chExt cx="3832860" cy="1356360"/>
          </a:xfrm>
        </xdr:grpSpPr>
        <xdr:sp macro="" textlink="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BD618604-46D7-A763-BD31-DFB20E5AE7FA}"/>
                </a:ext>
              </a:extLst>
            </xdr:cNvPr>
            <xdr:cNvSpPr/>
          </xdr:nvSpPr>
          <xdr:spPr>
            <a:xfrm>
              <a:off x="6332220" y="891540"/>
              <a:ext cx="3825240" cy="135636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alculos!G35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A1947803-7C2B-25C1-DF06-E9FBD2D6854D}"/>
                </a:ext>
              </a:extLst>
            </xdr:cNvPr>
            <xdr:cNvSpPr/>
          </xdr:nvSpPr>
          <xdr:spPr>
            <a:xfrm>
              <a:off x="7665720" y="1356360"/>
              <a:ext cx="2423160" cy="87630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6F473422-F80B-47D5-9B6E-0B57C762E51C}" type="TxLink">
                <a:rPr lang="en-US" sz="2800" b="0" i="0" u="none" strike="noStrike">
                  <a:solidFill>
                    <a:srgbClr val="5BF6A8"/>
                  </a:solidFill>
                  <a:latin typeface="Calibri"/>
                  <a:ea typeface="Calibri"/>
                  <a:cs typeface="Calibri"/>
                </a:rPr>
                <a:t> R$ 1.140,00 </a:t>
              </a:fld>
              <a:endParaRPr lang="en-US" sz="2800">
                <a:solidFill>
                  <a:srgbClr val="5BF6A8"/>
                </a:solidFill>
              </a:endParaRPr>
            </a:p>
          </xdr:txBody>
        </xdr:sp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5350729C-194C-4FD7-57BD-021F7F3536FC}"/>
                </a:ext>
              </a:extLst>
            </xdr:cNvPr>
            <xdr:cNvSpPr/>
          </xdr:nvSpPr>
          <xdr:spPr>
            <a:xfrm>
              <a:off x="6339840" y="899160"/>
              <a:ext cx="3825240" cy="281940"/>
            </a:xfrm>
            <a:prstGeom prst="round2SameRect">
              <a:avLst/>
            </a:prstGeom>
            <a:solidFill>
              <a:srgbClr val="5BF6A8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/>
                <a:t>TOTAL DE VENDAS</a:t>
              </a:r>
            </a:p>
          </xdr:txBody>
        </xdr:sp>
        <xdr:grpSp>
          <xdr:nvGrpSpPr>
            <xdr:cNvPr id="19" name="Agrupar 18">
              <a:extLst>
                <a:ext uri="{FF2B5EF4-FFF2-40B4-BE49-F238E27FC236}">
                  <a16:creationId xmlns:a16="http://schemas.microsoft.com/office/drawing/2014/main" id="{D02EDA77-1E27-43BC-910D-82C75B0C6611}"/>
                </a:ext>
              </a:extLst>
            </xdr:cNvPr>
            <xdr:cNvGrpSpPr/>
          </xdr:nvGrpSpPr>
          <xdr:grpSpPr>
            <a:xfrm>
              <a:off x="6682740" y="1379220"/>
              <a:ext cx="1089452" cy="564136"/>
              <a:chOff x="3495675" y="5400674"/>
              <a:chExt cx="1549476" cy="752476"/>
            </a:xfrm>
          </xdr:grpSpPr>
          <xdr:pic>
            <xdr:nvPicPr>
              <xdr:cNvPr id="20" name="Imagem 19">
                <a:extLst>
                  <a:ext uri="{FF2B5EF4-FFF2-40B4-BE49-F238E27FC236}">
                    <a16:creationId xmlns:a16="http://schemas.microsoft.com/office/drawing/2014/main" id="{01396E91-0C4E-CD68-AC60-2BE35E790F87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21" name="Gráfico 20">
                <a:extLst>
                  <a:ext uri="{FF2B5EF4-FFF2-40B4-BE49-F238E27FC236}">
                    <a16:creationId xmlns:a16="http://schemas.microsoft.com/office/drawing/2014/main" id="{0600D5CF-9ACC-66C0-0644-0E9EA5AB979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>
                <a:extLst>
                  <a:ext uri="{96DAC541-7B7A-43D3-8B79-37D633B846F1}">
                    <asvg:svgBlip xmlns:asvg="http://schemas.microsoft.com/office/drawing/2016/SVG/main" r:embed="rId5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</xdr:grpSp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1F48B545-EA64-456D-B35E-182539061B70}"/>
              </a:ext>
            </a:extLst>
          </xdr:cNvPr>
          <xdr:cNvSpPr/>
        </xdr:nvSpPr>
        <xdr:spPr>
          <a:xfrm>
            <a:off x="6850380" y="933296"/>
            <a:ext cx="3825240" cy="281940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TOTAL SUBSCRIPITIONS</a:t>
            </a:r>
            <a:r>
              <a:rPr lang="pt-BR" sz="1100" baseline="0"/>
              <a:t> </a:t>
            </a:r>
            <a:r>
              <a:rPr lang="pt-BR" sz="1100" b="1" baseline="0"/>
              <a:t>MINECRAFT</a:t>
            </a:r>
            <a:r>
              <a:rPr lang="pt-BR" sz="1100" baseline="0"/>
              <a:t> SEASON PASS</a:t>
            </a:r>
            <a:endParaRPr lang="pt-BR" sz="1100"/>
          </a:p>
        </xdr:txBody>
      </xdr:sp>
    </xdr:grpSp>
    <xdr:clientData/>
  </xdr:twoCellAnchor>
  <xdr:twoCellAnchor>
    <xdr:from>
      <xdr:col>1</xdr:col>
      <xdr:colOff>259080</xdr:colOff>
      <xdr:row>13</xdr:row>
      <xdr:rowOff>121920</xdr:rowOff>
    </xdr:from>
    <xdr:to>
      <xdr:col>16</xdr:col>
      <xdr:colOff>152400</xdr:colOff>
      <xdr:row>27</xdr:row>
      <xdr:rowOff>68580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B870B756-BA7A-93DE-447C-1E9A597C9CEC}"/>
            </a:ext>
          </a:extLst>
        </xdr:cNvPr>
        <xdr:cNvGrpSpPr/>
      </xdr:nvGrpSpPr>
      <xdr:grpSpPr>
        <a:xfrm>
          <a:off x="2004060" y="2621280"/>
          <a:ext cx="9037320" cy="2506980"/>
          <a:chOff x="1996440" y="2735580"/>
          <a:chExt cx="8214360" cy="2506980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1C4D14D8-8BF3-6D3F-181D-E190B83FAE36}"/>
              </a:ext>
            </a:extLst>
          </xdr:cNvPr>
          <xdr:cNvGrpSpPr/>
        </xdr:nvGrpSpPr>
        <xdr:grpSpPr>
          <a:xfrm>
            <a:off x="1996440" y="2750820"/>
            <a:ext cx="8214360" cy="2491740"/>
            <a:chOff x="1958340" y="1211580"/>
            <a:chExt cx="4297680" cy="2537460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44E0BB1E-214D-4149-39BD-18A5DD523AF2}"/>
                </a:ext>
              </a:extLst>
            </xdr:cNvPr>
            <xdr:cNvSpPr/>
          </xdr:nvSpPr>
          <xdr:spPr>
            <a:xfrm>
              <a:off x="1958340" y="1211580"/>
              <a:ext cx="4297680" cy="253746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7054A9E5-1A76-4C55-922E-BF9E20887E6B}"/>
                </a:ext>
              </a:extLst>
            </xdr:cNvPr>
            <xdr:cNvGraphicFramePr>
              <a:graphicFrameLocks/>
            </xdr:cNvGraphicFramePr>
          </xdr:nvGraphicFramePr>
          <xdr:xfrm>
            <a:off x="2025026" y="1421095"/>
            <a:ext cx="4138210" cy="214946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76B3DFB5-A582-4BFE-8298-6D225E4907FB}"/>
              </a:ext>
            </a:extLst>
          </xdr:cNvPr>
          <xdr:cNvSpPr/>
        </xdr:nvSpPr>
        <xdr:spPr>
          <a:xfrm>
            <a:off x="2026920" y="2735580"/>
            <a:ext cx="8153400" cy="281940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/>
              <a:t>TOTAL SUBSCRIPITIONS</a:t>
            </a:r>
            <a:r>
              <a:rPr lang="pt-BR" sz="1400" b="1" baseline="0"/>
              <a:t> XBOX GAME PASS</a:t>
            </a:r>
            <a:endParaRPr lang="pt-BR" sz="1400" b="1"/>
          </a:p>
        </xdr:txBody>
      </xdr:sp>
    </xdr:grpSp>
    <xdr:clientData/>
  </xdr:twoCellAnchor>
  <xdr:twoCellAnchor editAs="absolute">
    <xdr:from>
      <xdr:col>0</xdr:col>
      <xdr:colOff>434340</xdr:colOff>
      <xdr:row>1</xdr:row>
      <xdr:rowOff>68580</xdr:rowOff>
    </xdr:from>
    <xdr:to>
      <xdr:col>0</xdr:col>
      <xdr:colOff>1089659</xdr:colOff>
      <xdr:row>4</xdr:row>
      <xdr:rowOff>22860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E58F977D-95BB-44A6-BC7B-F6A00FA14FE9}"/>
            </a:ext>
          </a:extLst>
        </xdr:cNvPr>
        <xdr:cNvSpPr/>
      </xdr:nvSpPr>
      <xdr:spPr>
        <a:xfrm>
          <a:off x="434340" y="251460"/>
          <a:ext cx="655319" cy="60960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182880</xdr:colOff>
      <xdr:row>4</xdr:row>
      <xdr:rowOff>60960</xdr:rowOff>
    </xdr:from>
    <xdr:to>
      <xdr:col>1</xdr:col>
      <xdr:colOff>38100</xdr:colOff>
      <xdr:row>6</xdr:row>
      <xdr:rowOff>99060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E993282F-132D-BA9D-0AFC-BFD25D0F737B}"/>
            </a:ext>
          </a:extLst>
        </xdr:cNvPr>
        <xdr:cNvSpPr/>
      </xdr:nvSpPr>
      <xdr:spPr>
        <a:xfrm>
          <a:off x="182880" y="899160"/>
          <a:ext cx="1600200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800" b="1">
              <a:latin typeface="+mn-lt"/>
            </a:rPr>
            <a:t>Bem vinda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72866</xdr:colOff>
      <xdr:row>1</xdr:row>
      <xdr:rowOff>126236</xdr:rowOff>
    </xdr:from>
    <xdr:to>
      <xdr:col>8</xdr:col>
      <xdr:colOff>477679</xdr:colOff>
      <xdr:row>9</xdr:row>
      <xdr:rowOff>127655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500E7F55-866B-7774-7861-3F5E0E9C3063}"/>
            </a:ext>
          </a:extLst>
        </xdr:cNvPr>
        <xdr:cNvSpPr/>
      </xdr:nvSpPr>
      <xdr:spPr>
        <a:xfrm>
          <a:off x="682466" y="309116"/>
          <a:ext cx="4672013" cy="1464459"/>
        </a:xfrm>
        <a:prstGeom prst="roundRect">
          <a:avLst>
            <a:gd name="adj" fmla="val 4069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2</xdr:col>
      <xdr:colOff>584073</xdr:colOff>
      <xdr:row>4</xdr:row>
      <xdr:rowOff>68824</xdr:rowOff>
    </xdr:from>
    <xdr:to>
      <xdr:col>7</xdr:col>
      <xdr:colOff>573479</xdr:colOff>
      <xdr:row>9</xdr:row>
      <xdr:rowOff>67693</xdr:rowOff>
    </xdr:to>
    <xdr:sp macro="" textlink="[1]C̳álculos!E25">
      <xdr:nvSpPr>
        <xdr:cNvPr id="4" name="Retângulo: Cantos Arredondados 3">
          <a:extLst>
            <a:ext uri="{FF2B5EF4-FFF2-40B4-BE49-F238E27FC236}">
              <a16:creationId xmlns:a16="http://schemas.microsoft.com/office/drawing/2014/main" id="{45999621-9F67-787D-5F1D-7613795F00A7}"/>
            </a:ext>
          </a:extLst>
        </xdr:cNvPr>
        <xdr:cNvSpPr/>
      </xdr:nvSpPr>
      <xdr:spPr>
        <a:xfrm>
          <a:off x="1803273" y="800344"/>
          <a:ext cx="3037406" cy="913269"/>
        </a:xfrm>
        <a:prstGeom prst="roundRect">
          <a:avLst>
            <a:gd name="adj" fmla="val 40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013F77A-435A-4ABA-88A6-D9C44614F925}" type="TxLink">
            <a:rPr lang="en-US" sz="3600" b="0" i="0" u="none" strike="noStrike" kern="1200">
              <a:solidFill>
                <a:srgbClr val="22C55E"/>
              </a:solidFill>
              <a:latin typeface="Aptos Narrow"/>
            </a:rPr>
            <a:pPr algn="ctr"/>
            <a:t> R$ 600,00 </a:t>
          </a:fld>
          <a:endParaRPr lang="pt-BR" sz="3600" kern="1200">
            <a:solidFill>
              <a:srgbClr val="22C55E"/>
            </a:solidFill>
          </a:endParaRPr>
        </a:p>
      </xdr:txBody>
    </xdr:sp>
    <xdr:clientData/>
  </xdr:twoCellAnchor>
  <xdr:twoCellAnchor editAs="absolute">
    <xdr:from>
      <xdr:col>1</xdr:col>
      <xdr:colOff>228202</xdr:colOff>
      <xdr:row>3</xdr:row>
      <xdr:rowOff>117942</xdr:rowOff>
    </xdr:from>
    <xdr:to>
      <xdr:col>3</xdr:col>
      <xdr:colOff>232567</xdr:colOff>
      <xdr:row>10</xdr:row>
      <xdr:rowOff>18574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420A45C-27AF-7331-D151-EC7FFEB6F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802" y="666582"/>
          <a:ext cx="1223565" cy="1180792"/>
        </a:xfrm>
        <a:prstGeom prst="rect">
          <a:avLst/>
        </a:prstGeom>
      </xdr:spPr>
    </xdr:pic>
    <xdr:clientData/>
  </xdr:twoCellAnchor>
  <xdr:twoCellAnchor editAs="absolute">
    <xdr:from>
      <xdr:col>1</xdr:col>
      <xdr:colOff>72866</xdr:colOff>
      <xdr:row>1</xdr:row>
      <xdr:rowOff>68580</xdr:rowOff>
    </xdr:from>
    <xdr:to>
      <xdr:col>8</xdr:col>
      <xdr:colOff>477679</xdr:colOff>
      <xdr:row>3</xdr:row>
      <xdr:rowOff>141004</xdr:rowOff>
    </xdr:to>
    <xdr:sp macro="" textlink="">
      <xdr:nvSpPr>
        <xdr:cNvPr id="6" name="Retângulo: Cantos Superiores Arredondados 5">
          <a:extLst>
            <a:ext uri="{FF2B5EF4-FFF2-40B4-BE49-F238E27FC236}">
              <a16:creationId xmlns:a16="http://schemas.microsoft.com/office/drawing/2014/main" id="{7259D621-BEF6-A002-C4D2-E31E18D56CC9}"/>
            </a:ext>
          </a:extLst>
        </xdr:cNvPr>
        <xdr:cNvSpPr/>
      </xdr:nvSpPr>
      <xdr:spPr>
        <a:xfrm>
          <a:off x="682466" y="251460"/>
          <a:ext cx="4672013" cy="438184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kern="1200">
              <a:latin typeface="Segoe UI" panose="020B0502040204020203" pitchFamily="34" charset="0"/>
              <a:cs typeface="Segoe UI" panose="020B0502040204020203" pitchFamily="34" charset="0"/>
            </a:rPr>
            <a:t>TOTAL SUBSCRIPTIONS EA PLAY SEASON PASS</a:t>
          </a:r>
        </a:p>
      </xdr:txBody>
    </xdr:sp>
    <xdr:clientData/>
  </xdr:twoCellAnchor>
  <xdr:twoCellAnchor>
    <xdr:from>
      <xdr:col>10</xdr:col>
      <xdr:colOff>152400</xdr:colOff>
      <xdr:row>1</xdr:row>
      <xdr:rowOff>0</xdr:rowOff>
    </xdr:from>
    <xdr:to>
      <xdr:col>17</xdr:col>
      <xdr:colOff>566261</xdr:colOff>
      <xdr:row>9</xdr:row>
      <xdr:rowOff>56674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89A38C03-200F-590E-76CC-B3600379478A}"/>
            </a:ext>
          </a:extLst>
        </xdr:cNvPr>
        <xdr:cNvGrpSpPr/>
      </xdr:nvGrpSpPr>
      <xdr:grpSpPr>
        <a:xfrm>
          <a:off x="6248400" y="182880"/>
          <a:ext cx="4681061" cy="1519714"/>
          <a:chOff x="2095500" y="1143000"/>
          <a:chExt cx="4655344" cy="1571625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E5B8F206-2351-A675-5271-E7C2BD70C64D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[1]C̳álculos!E36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7C72A753-4D7F-F830-5A3A-3857778B5AB1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52E6073-EB91-45C9-81B2-5596C04756C0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R$ 940,00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sp macro="" textlink="">
        <xdr:nvSpPr>
          <xdr:cNvPr id="14" name="Retângulo: Cantos Superiores Arredondados 13">
            <a:extLst>
              <a:ext uri="{FF2B5EF4-FFF2-40B4-BE49-F238E27FC236}">
                <a16:creationId xmlns:a16="http://schemas.microsoft.com/office/drawing/2014/main" id="{46CD105E-312B-3C2F-E3FA-6677693C5A5F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MINECRAFT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SEASON PASS</a:t>
            </a:r>
          </a:p>
        </xdr:txBody>
      </xdr:sp>
    </xdr:grpSp>
    <xdr:clientData/>
  </xdr:twoCellAnchor>
  <xdr:twoCellAnchor>
    <xdr:from>
      <xdr:col>10</xdr:col>
      <xdr:colOff>322404</xdr:colOff>
      <xdr:row>4</xdr:row>
      <xdr:rowOff>132930</xdr:rowOff>
    </xdr:from>
    <xdr:to>
      <xdr:col>12</xdr:col>
      <xdr:colOff>192656</xdr:colOff>
      <xdr:row>7</xdr:row>
      <xdr:rowOff>148426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21CE4CAA-350C-C2B7-37D5-27E8A54B5E9A}"/>
            </a:ext>
          </a:extLst>
        </xdr:cNvPr>
        <xdr:cNvGrpSpPr/>
      </xdr:nvGrpSpPr>
      <xdr:grpSpPr>
        <a:xfrm>
          <a:off x="6418404" y="864450"/>
          <a:ext cx="1089452" cy="564136"/>
          <a:chOff x="3495675" y="5400674"/>
          <a:chExt cx="1549476" cy="752476"/>
        </a:xfrm>
      </xdr:grpSpPr>
      <xdr:pic>
        <xdr:nvPicPr>
          <xdr:cNvPr id="10" name="Imagem 9">
            <a:extLst>
              <a:ext uri="{FF2B5EF4-FFF2-40B4-BE49-F238E27FC236}">
                <a16:creationId xmlns:a16="http://schemas.microsoft.com/office/drawing/2014/main" id="{89F23051-0798-027D-02AB-63D4EAEEBF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1" name="Gráfico 10">
            <a:extLst>
              <a:ext uri="{FF2B5EF4-FFF2-40B4-BE49-F238E27FC236}">
                <a16:creationId xmlns:a16="http://schemas.microsoft.com/office/drawing/2014/main" id="{DDEA108A-7820-68DA-D3B0-2F4C6057F2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0</xdr:colOff>
      <xdr:row>11</xdr:row>
      <xdr:rowOff>90011</xdr:rowOff>
    </xdr:from>
    <xdr:to>
      <xdr:col>17</xdr:col>
      <xdr:colOff>592455</xdr:colOff>
      <xdr:row>28</xdr:row>
      <xdr:rowOff>149542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0BA739DE-35F0-401F-A25A-B2A83502ED0F}"/>
            </a:ext>
          </a:extLst>
        </xdr:cNvPr>
        <xdr:cNvGrpSpPr/>
      </xdr:nvGrpSpPr>
      <xdr:grpSpPr>
        <a:xfrm>
          <a:off x="609600" y="2101691"/>
          <a:ext cx="10346055" cy="3168491"/>
          <a:chOff x="2083594" y="3178969"/>
          <a:chExt cx="10298906" cy="3298031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1C65645F-E88D-37CD-C7A0-60B38946F184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73191A2C-816E-3335-6467-7A92A50166F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19" name="Gráfico 18">
              <a:extLst>
                <a:ext uri="{FF2B5EF4-FFF2-40B4-BE49-F238E27FC236}">
                  <a16:creationId xmlns:a16="http://schemas.microsoft.com/office/drawing/2014/main" id="{1F577A86-EA35-E712-F165-47DB3881F3AB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3370FB44-7271-6A6D-9FEF-4D4F218AF90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18</xdr:col>
      <xdr:colOff>0</xdr:colOff>
      <xdr:row>10</xdr:row>
      <xdr:rowOff>0</xdr:rowOff>
    </xdr:from>
    <xdr:to>
      <xdr:col>19</xdr:col>
      <xdr:colOff>85725</xdr:colOff>
      <xdr:row>13</xdr:row>
      <xdr:rowOff>114300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86C1703C-D6F2-45A4-A9E4-65099840B65E}"/>
            </a:ext>
          </a:extLst>
        </xdr:cNvPr>
        <xdr:cNvSpPr/>
      </xdr:nvSpPr>
      <xdr:spPr>
        <a:xfrm>
          <a:off x="10972800" y="1828800"/>
          <a:ext cx="695325" cy="662940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idiane%20Amaral\Downloads\0120950e-64c8-4092-a257-ba22ed198c69%20(1).xlsx" TargetMode="External"/><Relationship Id="rId1" Type="http://schemas.openxmlformats.org/officeDocument/2006/relationships/externalLinkPath" Target="0120950e-64c8-4092-a257-ba22ed198c69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̳ssets"/>
      <sheetName val="B̳ases"/>
      <sheetName val="C̳álculos"/>
      <sheetName val="D̳ashboard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805d54f9-6d53-4246-bed7-4aa2da615923%20(1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idiane Amaral" refreshedDate="46277.497116203704" createdVersion="8" refreshedVersion="8" minRefreshableVersion="3" recordCount="295" xr:uid="{3CF4EDA1-64C0-45D7-A0DA-6A597CF1366D}">
  <cacheSource type="worksheet">
    <worksheetSource name="Tabela1" r:id="rId2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54348525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x v="0"/>
    <x v="0"/>
    <s v="Yes"/>
    <n v="20"/>
    <n v="5"/>
    <n v="60"/>
  </r>
  <r>
    <n v="3232"/>
    <x v="1"/>
    <x v="1"/>
    <d v="2024-01-15T00:00:00"/>
    <x v="1"/>
    <x v="1"/>
    <x v="1"/>
    <x v="1"/>
    <x v="1"/>
    <s v="No"/>
    <n v="0"/>
    <n v="0"/>
    <n v="5"/>
  </r>
  <r>
    <n v="3233"/>
    <x v="2"/>
    <x v="2"/>
    <d v="2024-02-10T00:00:00"/>
    <x v="0"/>
    <x v="2"/>
    <x v="2"/>
    <x v="1"/>
    <x v="1"/>
    <s v="Yes"/>
    <n v="20"/>
    <n v="10"/>
    <n v="20"/>
  </r>
  <r>
    <n v="3234"/>
    <x v="3"/>
    <x v="0"/>
    <d v="2024-02-20T00:00:00"/>
    <x v="1"/>
    <x v="0"/>
    <x v="0"/>
    <x v="0"/>
    <x v="0"/>
    <s v="Yes"/>
    <n v="20"/>
    <n v="3"/>
    <n v="62"/>
  </r>
  <r>
    <n v="3235"/>
    <x v="4"/>
    <x v="1"/>
    <d v="2024-03-05T00:00:00"/>
    <x v="0"/>
    <x v="1"/>
    <x v="0"/>
    <x v="1"/>
    <x v="1"/>
    <s v="No"/>
    <n v="0"/>
    <n v="1"/>
    <n v="4"/>
  </r>
  <r>
    <n v="3236"/>
    <x v="5"/>
    <x v="2"/>
    <d v="2024-03-02T00:00:00"/>
    <x v="1"/>
    <x v="2"/>
    <x v="0"/>
    <x v="1"/>
    <x v="1"/>
    <s v="Yes"/>
    <n v="20"/>
    <n v="2"/>
    <n v="28"/>
  </r>
  <r>
    <n v="3237"/>
    <x v="6"/>
    <x v="0"/>
    <d v="2024-03-03T00:00:00"/>
    <x v="0"/>
    <x v="0"/>
    <x v="2"/>
    <x v="0"/>
    <x v="0"/>
    <s v="Yes"/>
    <n v="20"/>
    <n v="10"/>
    <n v="55"/>
  </r>
  <r>
    <n v="3238"/>
    <x v="7"/>
    <x v="1"/>
    <d v="2024-03-04T00:00:00"/>
    <x v="0"/>
    <x v="1"/>
    <x v="1"/>
    <x v="1"/>
    <x v="1"/>
    <s v="No"/>
    <n v="0"/>
    <n v="0"/>
    <n v="5"/>
  </r>
  <r>
    <n v="3239"/>
    <x v="8"/>
    <x v="0"/>
    <d v="2024-03-05T00:00:00"/>
    <x v="1"/>
    <x v="0"/>
    <x v="0"/>
    <x v="0"/>
    <x v="0"/>
    <s v="Yes"/>
    <n v="20"/>
    <n v="5"/>
    <n v="60"/>
  </r>
  <r>
    <n v="3240"/>
    <x v="9"/>
    <x v="2"/>
    <d v="2024-03-06T00:00:00"/>
    <x v="0"/>
    <x v="2"/>
    <x v="2"/>
    <x v="1"/>
    <x v="1"/>
    <s v="Yes"/>
    <n v="20"/>
    <n v="15"/>
    <n v="15"/>
  </r>
  <r>
    <n v="3241"/>
    <x v="10"/>
    <x v="1"/>
    <d v="2024-03-07T00:00:00"/>
    <x v="1"/>
    <x v="1"/>
    <x v="0"/>
    <x v="1"/>
    <x v="1"/>
    <s v="No"/>
    <n v="0"/>
    <n v="1"/>
    <n v="4"/>
  </r>
  <r>
    <n v="3242"/>
    <x v="11"/>
    <x v="0"/>
    <d v="2024-03-08T00:00:00"/>
    <x v="0"/>
    <x v="0"/>
    <x v="1"/>
    <x v="0"/>
    <x v="0"/>
    <s v="Yes"/>
    <n v="20"/>
    <n v="20"/>
    <n v="45"/>
  </r>
  <r>
    <n v="3243"/>
    <x v="12"/>
    <x v="2"/>
    <d v="2024-03-09T00:00:00"/>
    <x v="1"/>
    <x v="2"/>
    <x v="0"/>
    <x v="1"/>
    <x v="1"/>
    <s v="Yes"/>
    <n v="20"/>
    <n v="10"/>
    <n v="20"/>
  </r>
  <r>
    <n v="3244"/>
    <x v="13"/>
    <x v="1"/>
    <d v="2024-03-10T00:00:00"/>
    <x v="0"/>
    <x v="1"/>
    <x v="2"/>
    <x v="1"/>
    <x v="1"/>
    <s v="No"/>
    <n v="0"/>
    <n v="0"/>
    <n v="5"/>
  </r>
  <r>
    <n v="3245"/>
    <x v="14"/>
    <x v="0"/>
    <d v="2024-03-11T00:00:00"/>
    <x v="1"/>
    <x v="0"/>
    <x v="0"/>
    <x v="0"/>
    <x v="0"/>
    <s v="Yes"/>
    <n v="20"/>
    <n v="8"/>
    <n v="57"/>
  </r>
  <r>
    <n v="3246"/>
    <x v="15"/>
    <x v="2"/>
    <d v="2024-03-12T00:00:00"/>
    <x v="0"/>
    <x v="2"/>
    <x v="1"/>
    <x v="1"/>
    <x v="1"/>
    <s v="Yes"/>
    <n v="20"/>
    <n v="12"/>
    <n v="18"/>
  </r>
  <r>
    <n v="3247"/>
    <x v="16"/>
    <x v="1"/>
    <d v="2024-03-13T00:00:00"/>
    <x v="1"/>
    <x v="1"/>
    <x v="0"/>
    <x v="1"/>
    <x v="1"/>
    <s v="No"/>
    <n v="0"/>
    <n v="2"/>
    <n v="3"/>
  </r>
  <r>
    <n v="3248"/>
    <x v="17"/>
    <x v="0"/>
    <d v="2024-03-14T00:00:00"/>
    <x v="0"/>
    <x v="0"/>
    <x v="2"/>
    <x v="0"/>
    <x v="0"/>
    <s v="Yes"/>
    <n v="20"/>
    <n v="7"/>
    <n v="58"/>
  </r>
  <r>
    <n v="3249"/>
    <x v="18"/>
    <x v="2"/>
    <d v="2024-03-15T00:00:00"/>
    <x v="1"/>
    <x v="2"/>
    <x v="0"/>
    <x v="1"/>
    <x v="1"/>
    <s v="Yes"/>
    <n v="20"/>
    <n v="5"/>
    <n v="25"/>
  </r>
  <r>
    <n v="3250"/>
    <x v="19"/>
    <x v="1"/>
    <d v="2024-03-16T00:00:00"/>
    <x v="0"/>
    <x v="1"/>
    <x v="1"/>
    <x v="1"/>
    <x v="1"/>
    <s v="No"/>
    <n v="0"/>
    <n v="0"/>
    <n v="5"/>
  </r>
  <r>
    <n v="3251"/>
    <x v="20"/>
    <x v="0"/>
    <d v="2024-03-17T00:00:00"/>
    <x v="1"/>
    <x v="0"/>
    <x v="0"/>
    <x v="0"/>
    <x v="0"/>
    <s v="Yes"/>
    <n v="20"/>
    <n v="3"/>
    <n v="62"/>
  </r>
  <r>
    <n v="3252"/>
    <x v="21"/>
    <x v="2"/>
    <d v="2024-03-18T00:00:00"/>
    <x v="0"/>
    <x v="2"/>
    <x v="2"/>
    <x v="1"/>
    <x v="1"/>
    <s v="Yes"/>
    <n v="20"/>
    <n v="15"/>
    <n v="15"/>
  </r>
  <r>
    <n v="3253"/>
    <x v="22"/>
    <x v="1"/>
    <d v="2024-03-19T00:00:00"/>
    <x v="1"/>
    <x v="1"/>
    <x v="0"/>
    <x v="1"/>
    <x v="1"/>
    <s v="No"/>
    <n v="0"/>
    <n v="1"/>
    <n v="4"/>
  </r>
  <r>
    <n v="3254"/>
    <x v="23"/>
    <x v="0"/>
    <d v="2024-03-20T00:00:00"/>
    <x v="0"/>
    <x v="0"/>
    <x v="1"/>
    <x v="0"/>
    <x v="0"/>
    <s v="Yes"/>
    <n v="20"/>
    <n v="20"/>
    <n v="45"/>
  </r>
  <r>
    <n v="3255"/>
    <x v="24"/>
    <x v="2"/>
    <d v="2024-03-21T00:00:00"/>
    <x v="1"/>
    <x v="2"/>
    <x v="0"/>
    <x v="1"/>
    <x v="1"/>
    <s v="Yes"/>
    <n v="20"/>
    <n v="10"/>
    <n v="20"/>
  </r>
  <r>
    <n v="3256"/>
    <x v="25"/>
    <x v="1"/>
    <d v="2024-03-22T00:00:00"/>
    <x v="0"/>
    <x v="1"/>
    <x v="2"/>
    <x v="1"/>
    <x v="1"/>
    <s v="No"/>
    <n v="0"/>
    <n v="0"/>
    <n v="5"/>
  </r>
  <r>
    <n v="3257"/>
    <x v="26"/>
    <x v="0"/>
    <d v="2024-03-23T00:00:00"/>
    <x v="1"/>
    <x v="0"/>
    <x v="0"/>
    <x v="0"/>
    <x v="0"/>
    <s v="Yes"/>
    <n v="20"/>
    <n v="5"/>
    <n v="60"/>
  </r>
  <r>
    <n v="3258"/>
    <x v="27"/>
    <x v="2"/>
    <d v="2024-03-24T00:00:00"/>
    <x v="0"/>
    <x v="2"/>
    <x v="1"/>
    <x v="1"/>
    <x v="1"/>
    <s v="Yes"/>
    <n v="20"/>
    <n v="15"/>
    <n v="15"/>
  </r>
  <r>
    <n v="3259"/>
    <x v="28"/>
    <x v="1"/>
    <d v="2024-03-25T00:00:00"/>
    <x v="1"/>
    <x v="1"/>
    <x v="0"/>
    <x v="1"/>
    <x v="1"/>
    <s v="No"/>
    <n v="0"/>
    <n v="1"/>
    <n v="4"/>
  </r>
  <r>
    <n v="3260"/>
    <x v="29"/>
    <x v="0"/>
    <d v="2024-03-26T00:00:00"/>
    <x v="0"/>
    <x v="0"/>
    <x v="2"/>
    <x v="0"/>
    <x v="0"/>
    <s v="Yes"/>
    <n v="20"/>
    <n v="7"/>
    <n v="58"/>
  </r>
  <r>
    <n v="3261"/>
    <x v="30"/>
    <x v="2"/>
    <d v="2024-03-27T00:00:00"/>
    <x v="1"/>
    <x v="2"/>
    <x v="0"/>
    <x v="1"/>
    <x v="1"/>
    <s v="Yes"/>
    <n v="20"/>
    <n v="10"/>
    <n v="20"/>
  </r>
  <r>
    <n v="3262"/>
    <x v="31"/>
    <x v="1"/>
    <d v="2024-03-28T00:00:00"/>
    <x v="0"/>
    <x v="1"/>
    <x v="1"/>
    <x v="1"/>
    <x v="1"/>
    <s v="No"/>
    <n v="0"/>
    <n v="0"/>
    <n v="5"/>
  </r>
  <r>
    <n v="3263"/>
    <x v="32"/>
    <x v="0"/>
    <d v="2024-03-29T00:00:00"/>
    <x v="1"/>
    <x v="0"/>
    <x v="0"/>
    <x v="0"/>
    <x v="0"/>
    <s v="Yes"/>
    <n v="20"/>
    <n v="3"/>
    <n v="62"/>
  </r>
  <r>
    <n v="3264"/>
    <x v="33"/>
    <x v="2"/>
    <d v="2024-03-30T00:00:00"/>
    <x v="0"/>
    <x v="2"/>
    <x v="2"/>
    <x v="1"/>
    <x v="1"/>
    <s v="Yes"/>
    <n v="20"/>
    <n v="15"/>
    <n v="15"/>
  </r>
  <r>
    <n v="3265"/>
    <x v="34"/>
    <x v="1"/>
    <d v="2024-03-31T00:00:00"/>
    <x v="1"/>
    <x v="1"/>
    <x v="0"/>
    <x v="1"/>
    <x v="1"/>
    <s v="No"/>
    <n v="0"/>
    <n v="1"/>
    <n v="4"/>
  </r>
  <r>
    <n v="3266"/>
    <x v="35"/>
    <x v="1"/>
    <d v="2024-04-01T00:00:00"/>
    <x v="0"/>
    <x v="1"/>
    <x v="0"/>
    <x v="1"/>
    <x v="1"/>
    <s v="No"/>
    <n v="0"/>
    <n v="0"/>
    <n v="5"/>
  </r>
  <r>
    <n v="3267"/>
    <x v="36"/>
    <x v="0"/>
    <d v="2024-04-02T00:00:00"/>
    <x v="1"/>
    <x v="0"/>
    <x v="2"/>
    <x v="0"/>
    <x v="0"/>
    <s v="Yes"/>
    <n v="20"/>
    <n v="7"/>
    <n v="58"/>
  </r>
  <r>
    <n v="3268"/>
    <x v="37"/>
    <x v="2"/>
    <d v="2024-04-03T00:00:00"/>
    <x v="0"/>
    <x v="2"/>
    <x v="1"/>
    <x v="1"/>
    <x v="1"/>
    <s v="Yes"/>
    <n v="20"/>
    <n v="10"/>
    <n v="20"/>
  </r>
  <r>
    <n v="3269"/>
    <x v="38"/>
    <x v="1"/>
    <d v="2024-04-04T00:00:00"/>
    <x v="1"/>
    <x v="1"/>
    <x v="2"/>
    <x v="1"/>
    <x v="1"/>
    <s v="No"/>
    <n v="0"/>
    <n v="1"/>
    <n v="4"/>
  </r>
  <r>
    <n v="3270"/>
    <x v="39"/>
    <x v="0"/>
    <d v="2024-04-05T00:00:00"/>
    <x v="0"/>
    <x v="0"/>
    <x v="0"/>
    <x v="0"/>
    <x v="0"/>
    <s v="Yes"/>
    <n v="20"/>
    <n v="15"/>
    <n v="50"/>
  </r>
  <r>
    <n v="3271"/>
    <x v="40"/>
    <x v="2"/>
    <d v="2024-04-06T00:00:00"/>
    <x v="1"/>
    <x v="2"/>
    <x v="0"/>
    <x v="1"/>
    <x v="1"/>
    <s v="Yes"/>
    <n v="20"/>
    <n v="5"/>
    <n v="25"/>
  </r>
  <r>
    <n v="3272"/>
    <x v="41"/>
    <x v="1"/>
    <d v="2024-04-07T00:00:00"/>
    <x v="0"/>
    <x v="1"/>
    <x v="1"/>
    <x v="1"/>
    <x v="1"/>
    <s v="No"/>
    <n v="0"/>
    <n v="0"/>
    <n v="5"/>
  </r>
  <r>
    <n v="3273"/>
    <x v="42"/>
    <x v="0"/>
    <d v="2024-04-08T00:00:00"/>
    <x v="1"/>
    <x v="0"/>
    <x v="2"/>
    <x v="0"/>
    <x v="0"/>
    <s v="Yes"/>
    <n v="20"/>
    <n v="20"/>
    <n v="45"/>
  </r>
  <r>
    <n v="3274"/>
    <x v="43"/>
    <x v="2"/>
    <d v="2024-04-09T00:00:00"/>
    <x v="0"/>
    <x v="2"/>
    <x v="2"/>
    <x v="1"/>
    <x v="1"/>
    <s v="Yes"/>
    <n v="20"/>
    <n v="12"/>
    <n v="18"/>
  </r>
  <r>
    <n v="3275"/>
    <x v="44"/>
    <x v="1"/>
    <d v="2024-04-10T00:00:00"/>
    <x v="1"/>
    <x v="1"/>
    <x v="0"/>
    <x v="1"/>
    <x v="1"/>
    <s v="No"/>
    <n v="0"/>
    <n v="2"/>
    <n v="3"/>
  </r>
  <r>
    <n v="3276"/>
    <x v="45"/>
    <x v="0"/>
    <d v="2024-04-11T00:00:00"/>
    <x v="0"/>
    <x v="0"/>
    <x v="1"/>
    <x v="0"/>
    <x v="0"/>
    <s v="Yes"/>
    <n v="20"/>
    <n v="5"/>
    <n v="60"/>
  </r>
  <r>
    <n v="3277"/>
    <x v="46"/>
    <x v="2"/>
    <d v="2024-04-12T00:00:00"/>
    <x v="1"/>
    <x v="2"/>
    <x v="0"/>
    <x v="1"/>
    <x v="1"/>
    <s v="Yes"/>
    <n v="20"/>
    <n v="10"/>
    <n v="20"/>
  </r>
  <r>
    <n v="3278"/>
    <x v="47"/>
    <x v="1"/>
    <d v="2024-04-13T00:00:00"/>
    <x v="0"/>
    <x v="1"/>
    <x v="2"/>
    <x v="1"/>
    <x v="1"/>
    <s v="No"/>
    <n v="0"/>
    <n v="0"/>
    <n v="5"/>
  </r>
  <r>
    <n v="3279"/>
    <x v="48"/>
    <x v="0"/>
    <d v="2024-04-14T00:00:00"/>
    <x v="1"/>
    <x v="0"/>
    <x v="0"/>
    <x v="0"/>
    <x v="0"/>
    <s v="Yes"/>
    <n v="20"/>
    <n v="3"/>
    <n v="62"/>
  </r>
  <r>
    <n v="3280"/>
    <x v="49"/>
    <x v="2"/>
    <d v="2024-04-15T00:00:00"/>
    <x v="0"/>
    <x v="2"/>
    <x v="1"/>
    <x v="1"/>
    <x v="1"/>
    <s v="Yes"/>
    <n v="20"/>
    <n v="15"/>
    <n v="15"/>
  </r>
  <r>
    <n v="3281"/>
    <x v="50"/>
    <x v="1"/>
    <d v="2024-04-16T00:00:00"/>
    <x v="1"/>
    <x v="1"/>
    <x v="0"/>
    <x v="1"/>
    <x v="1"/>
    <s v="No"/>
    <n v="0"/>
    <n v="1"/>
    <n v="4"/>
  </r>
  <r>
    <n v="3282"/>
    <x v="51"/>
    <x v="0"/>
    <d v="2024-04-17T00:00:00"/>
    <x v="0"/>
    <x v="0"/>
    <x v="2"/>
    <x v="0"/>
    <x v="0"/>
    <s v="Yes"/>
    <n v="20"/>
    <n v="7"/>
    <n v="58"/>
  </r>
  <r>
    <n v="3283"/>
    <x v="52"/>
    <x v="2"/>
    <d v="2024-04-18T00:00:00"/>
    <x v="1"/>
    <x v="2"/>
    <x v="0"/>
    <x v="1"/>
    <x v="1"/>
    <s v="Yes"/>
    <n v="20"/>
    <n v="10"/>
    <n v="20"/>
  </r>
  <r>
    <n v="3284"/>
    <x v="53"/>
    <x v="1"/>
    <d v="2024-04-19T00:00:00"/>
    <x v="0"/>
    <x v="1"/>
    <x v="1"/>
    <x v="1"/>
    <x v="1"/>
    <s v="No"/>
    <n v="0"/>
    <n v="0"/>
    <n v="5"/>
  </r>
  <r>
    <n v="3285"/>
    <x v="54"/>
    <x v="0"/>
    <d v="2024-04-20T00:00:00"/>
    <x v="1"/>
    <x v="0"/>
    <x v="0"/>
    <x v="0"/>
    <x v="0"/>
    <s v="Yes"/>
    <n v="20"/>
    <n v="20"/>
    <n v="45"/>
  </r>
  <r>
    <n v="3286"/>
    <x v="55"/>
    <x v="2"/>
    <d v="2024-04-21T00:00:00"/>
    <x v="0"/>
    <x v="2"/>
    <x v="2"/>
    <x v="1"/>
    <x v="1"/>
    <s v="Yes"/>
    <n v="20"/>
    <n v="15"/>
    <n v="15"/>
  </r>
  <r>
    <n v="3287"/>
    <x v="56"/>
    <x v="1"/>
    <d v="2024-04-22T00:00:00"/>
    <x v="1"/>
    <x v="1"/>
    <x v="0"/>
    <x v="1"/>
    <x v="1"/>
    <s v="No"/>
    <n v="0"/>
    <n v="1"/>
    <n v="4"/>
  </r>
  <r>
    <n v="3288"/>
    <x v="57"/>
    <x v="0"/>
    <d v="2024-04-23T00:00:00"/>
    <x v="0"/>
    <x v="0"/>
    <x v="1"/>
    <x v="0"/>
    <x v="0"/>
    <s v="Yes"/>
    <n v="20"/>
    <n v="3"/>
    <n v="62"/>
  </r>
  <r>
    <n v="3289"/>
    <x v="58"/>
    <x v="2"/>
    <d v="2024-04-24T00:00:00"/>
    <x v="1"/>
    <x v="2"/>
    <x v="0"/>
    <x v="1"/>
    <x v="1"/>
    <s v="Yes"/>
    <n v="20"/>
    <n v="10"/>
    <n v="20"/>
  </r>
  <r>
    <n v="3290"/>
    <x v="59"/>
    <x v="1"/>
    <d v="2024-04-25T00:00:00"/>
    <x v="0"/>
    <x v="1"/>
    <x v="2"/>
    <x v="1"/>
    <x v="1"/>
    <s v="No"/>
    <n v="0"/>
    <n v="0"/>
    <n v="5"/>
  </r>
  <r>
    <n v="3291"/>
    <x v="60"/>
    <x v="0"/>
    <d v="2024-04-26T00:00:00"/>
    <x v="1"/>
    <x v="0"/>
    <x v="0"/>
    <x v="0"/>
    <x v="0"/>
    <s v="Yes"/>
    <n v="20"/>
    <n v="5"/>
    <n v="60"/>
  </r>
  <r>
    <n v="3292"/>
    <x v="61"/>
    <x v="2"/>
    <d v="2024-04-27T00:00:00"/>
    <x v="0"/>
    <x v="2"/>
    <x v="1"/>
    <x v="1"/>
    <x v="1"/>
    <s v="Yes"/>
    <n v="20"/>
    <n v="15"/>
    <n v="15"/>
  </r>
  <r>
    <n v="3293"/>
    <x v="62"/>
    <x v="1"/>
    <d v="2024-04-28T00:00:00"/>
    <x v="1"/>
    <x v="1"/>
    <x v="0"/>
    <x v="1"/>
    <x v="1"/>
    <s v="No"/>
    <n v="0"/>
    <n v="1"/>
    <n v="4"/>
  </r>
  <r>
    <n v="3294"/>
    <x v="63"/>
    <x v="0"/>
    <d v="2024-04-29T00:00:00"/>
    <x v="0"/>
    <x v="0"/>
    <x v="2"/>
    <x v="0"/>
    <x v="0"/>
    <s v="Yes"/>
    <n v="20"/>
    <n v="20"/>
    <n v="45"/>
  </r>
  <r>
    <n v="3295"/>
    <x v="64"/>
    <x v="2"/>
    <d v="2024-04-30T00:00:00"/>
    <x v="1"/>
    <x v="2"/>
    <x v="0"/>
    <x v="1"/>
    <x v="1"/>
    <s v="Yes"/>
    <n v="20"/>
    <n v="5"/>
    <n v="25"/>
  </r>
  <r>
    <n v="3296"/>
    <x v="65"/>
    <x v="1"/>
    <d v="2024-05-01T00:00:00"/>
    <x v="1"/>
    <x v="1"/>
    <x v="0"/>
    <x v="1"/>
    <x v="1"/>
    <s v="No"/>
    <n v="0"/>
    <n v="0"/>
    <n v="5"/>
  </r>
  <r>
    <n v="3297"/>
    <x v="66"/>
    <x v="0"/>
    <d v="2024-05-02T00:00:00"/>
    <x v="0"/>
    <x v="0"/>
    <x v="2"/>
    <x v="0"/>
    <x v="0"/>
    <s v="Yes"/>
    <n v="20"/>
    <n v="7"/>
    <n v="58"/>
  </r>
  <r>
    <n v="3298"/>
    <x v="67"/>
    <x v="2"/>
    <d v="2024-05-03T00:00:00"/>
    <x v="1"/>
    <x v="2"/>
    <x v="1"/>
    <x v="1"/>
    <x v="1"/>
    <s v="Yes"/>
    <n v="20"/>
    <n v="10"/>
    <n v="20"/>
  </r>
  <r>
    <n v="3299"/>
    <x v="68"/>
    <x v="1"/>
    <d v="2024-05-04T00:00:00"/>
    <x v="0"/>
    <x v="1"/>
    <x v="2"/>
    <x v="1"/>
    <x v="1"/>
    <s v="No"/>
    <n v="0"/>
    <n v="1"/>
    <n v="4"/>
  </r>
  <r>
    <n v="3300"/>
    <x v="69"/>
    <x v="0"/>
    <d v="2024-05-05T00:00:00"/>
    <x v="1"/>
    <x v="0"/>
    <x v="0"/>
    <x v="0"/>
    <x v="0"/>
    <s v="Yes"/>
    <n v="20"/>
    <n v="15"/>
    <n v="50"/>
  </r>
  <r>
    <n v="3301"/>
    <x v="70"/>
    <x v="2"/>
    <d v="2024-05-06T00:00:00"/>
    <x v="0"/>
    <x v="2"/>
    <x v="0"/>
    <x v="1"/>
    <x v="1"/>
    <s v="Yes"/>
    <n v="20"/>
    <n v="5"/>
    <n v="25"/>
  </r>
  <r>
    <n v="3302"/>
    <x v="71"/>
    <x v="1"/>
    <d v="2024-05-07T00:00:00"/>
    <x v="1"/>
    <x v="1"/>
    <x v="1"/>
    <x v="1"/>
    <x v="1"/>
    <s v="No"/>
    <n v="0"/>
    <n v="0"/>
    <n v="5"/>
  </r>
  <r>
    <n v="3303"/>
    <x v="72"/>
    <x v="0"/>
    <d v="2024-05-08T00:00:00"/>
    <x v="0"/>
    <x v="0"/>
    <x v="2"/>
    <x v="0"/>
    <x v="0"/>
    <s v="Yes"/>
    <n v="20"/>
    <n v="20"/>
    <n v="45"/>
  </r>
  <r>
    <n v="3304"/>
    <x v="73"/>
    <x v="2"/>
    <d v="2024-05-09T00:00:00"/>
    <x v="1"/>
    <x v="2"/>
    <x v="2"/>
    <x v="1"/>
    <x v="1"/>
    <s v="Yes"/>
    <n v="20"/>
    <n v="12"/>
    <n v="18"/>
  </r>
  <r>
    <n v="3305"/>
    <x v="74"/>
    <x v="1"/>
    <d v="2024-05-10T00:00:00"/>
    <x v="0"/>
    <x v="1"/>
    <x v="0"/>
    <x v="1"/>
    <x v="1"/>
    <s v="No"/>
    <n v="0"/>
    <n v="2"/>
    <n v="3"/>
  </r>
  <r>
    <n v="3306"/>
    <x v="75"/>
    <x v="0"/>
    <d v="2024-05-11T00:00:00"/>
    <x v="1"/>
    <x v="0"/>
    <x v="1"/>
    <x v="0"/>
    <x v="0"/>
    <s v="Yes"/>
    <n v="20"/>
    <n v="5"/>
    <n v="60"/>
  </r>
  <r>
    <n v="3307"/>
    <x v="76"/>
    <x v="2"/>
    <d v="2024-05-12T00:00:00"/>
    <x v="0"/>
    <x v="2"/>
    <x v="0"/>
    <x v="1"/>
    <x v="1"/>
    <s v="Yes"/>
    <n v="20"/>
    <n v="10"/>
    <n v="20"/>
  </r>
  <r>
    <n v="3308"/>
    <x v="77"/>
    <x v="1"/>
    <d v="2024-05-13T00:00:00"/>
    <x v="1"/>
    <x v="1"/>
    <x v="2"/>
    <x v="1"/>
    <x v="1"/>
    <s v="No"/>
    <n v="0"/>
    <n v="0"/>
    <n v="5"/>
  </r>
  <r>
    <n v="3309"/>
    <x v="78"/>
    <x v="0"/>
    <d v="2024-05-14T00:00:00"/>
    <x v="0"/>
    <x v="0"/>
    <x v="0"/>
    <x v="0"/>
    <x v="0"/>
    <s v="Yes"/>
    <n v="20"/>
    <n v="3"/>
    <n v="62"/>
  </r>
  <r>
    <n v="3310"/>
    <x v="79"/>
    <x v="2"/>
    <d v="2024-05-15T00:00:00"/>
    <x v="1"/>
    <x v="2"/>
    <x v="1"/>
    <x v="1"/>
    <x v="1"/>
    <s v="Yes"/>
    <n v="20"/>
    <n v="15"/>
    <n v="15"/>
  </r>
  <r>
    <n v="3311"/>
    <x v="80"/>
    <x v="1"/>
    <d v="2024-05-16T00:00:00"/>
    <x v="0"/>
    <x v="1"/>
    <x v="0"/>
    <x v="1"/>
    <x v="1"/>
    <s v="No"/>
    <n v="0"/>
    <n v="1"/>
    <n v="4"/>
  </r>
  <r>
    <n v="3312"/>
    <x v="81"/>
    <x v="0"/>
    <d v="2024-05-17T00:00:00"/>
    <x v="1"/>
    <x v="0"/>
    <x v="2"/>
    <x v="0"/>
    <x v="0"/>
    <s v="Yes"/>
    <n v="20"/>
    <n v="7"/>
    <n v="58"/>
  </r>
  <r>
    <n v="3313"/>
    <x v="82"/>
    <x v="2"/>
    <d v="2024-05-18T00:00:00"/>
    <x v="0"/>
    <x v="2"/>
    <x v="0"/>
    <x v="1"/>
    <x v="1"/>
    <s v="Yes"/>
    <n v="20"/>
    <n v="10"/>
    <n v="20"/>
  </r>
  <r>
    <n v="3314"/>
    <x v="83"/>
    <x v="1"/>
    <d v="2024-05-19T00:00:00"/>
    <x v="1"/>
    <x v="1"/>
    <x v="1"/>
    <x v="1"/>
    <x v="1"/>
    <s v="No"/>
    <n v="0"/>
    <n v="0"/>
    <n v="5"/>
  </r>
  <r>
    <n v="3315"/>
    <x v="84"/>
    <x v="0"/>
    <d v="2024-05-20T00:00:00"/>
    <x v="0"/>
    <x v="0"/>
    <x v="0"/>
    <x v="0"/>
    <x v="0"/>
    <s v="Yes"/>
    <n v="20"/>
    <n v="20"/>
    <n v="45"/>
  </r>
  <r>
    <n v="3316"/>
    <x v="85"/>
    <x v="2"/>
    <d v="2024-05-21T00:00:00"/>
    <x v="1"/>
    <x v="2"/>
    <x v="2"/>
    <x v="1"/>
    <x v="1"/>
    <s v="Yes"/>
    <n v="20"/>
    <n v="15"/>
    <n v="15"/>
  </r>
  <r>
    <n v="3317"/>
    <x v="86"/>
    <x v="1"/>
    <d v="2024-05-22T00:00:00"/>
    <x v="0"/>
    <x v="1"/>
    <x v="0"/>
    <x v="1"/>
    <x v="1"/>
    <s v="No"/>
    <n v="0"/>
    <n v="1"/>
    <n v="4"/>
  </r>
  <r>
    <n v="3318"/>
    <x v="87"/>
    <x v="0"/>
    <d v="2024-05-23T00:00:00"/>
    <x v="1"/>
    <x v="0"/>
    <x v="1"/>
    <x v="0"/>
    <x v="0"/>
    <s v="Yes"/>
    <n v="20"/>
    <n v="3"/>
    <n v="62"/>
  </r>
  <r>
    <n v="3319"/>
    <x v="88"/>
    <x v="2"/>
    <d v="2024-05-24T00:00:00"/>
    <x v="0"/>
    <x v="2"/>
    <x v="0"/>
    <x v="1"/>
    <x v="1"/>
    <s v="Yes"/>
    <n v="20"/>
    <n v="10"/>
    <n v="20"/>
  </r>
  <r>
    <n v="3320"/>
    <x v="89"/>
    <x v="1"/>
    <d v="2024-05-25T00:00:00"/>
    <x v="1"/>
    <x v="1"/>
    <x v="2"/>
    <x v="1"/>
    <x v="1"/>
    <s v="No"/>
    <n v="0"/>
    <n v="0"/>
    <n v="5"/>
  </r>
  <r>
    <n v="3321"/>
    <x v="90"/>
    <x v="0"/>
    <d v="2024-05-26T00:00:00"/>
    <x v="0"/>
    <x v="0"/>
    <x v="0"/>
    <x v="0"/>
    <x v="0"/>
    <s v="Yes"/>
    <n v="20"/>
    <n v="5"/>
    <n v="60"/>
  </r>
  <r>
    <n v="3322"/>
    <x v="91"/>
    <x v="2"/>
    <d v="2024-05-27T00:00:00"/>
    <x v="1"/>
    <x v="2"/>
    <x v="1"/>
    <x v="1"/>
    <x v="1"/>
    <s v="Yes"/>
    <n v="20"/>
    <n v="15"/>
    <n v="15"/>
  </r>
  <r>
    <n v="3323"/>
    <x v="92"/>
    <x v="1"/>
    <d v="2024-05-28T00:00:00"/>
    <x v="0"/>
    <x v="1"/>
    <x v="0"/>
    <x v="1"/>
    <x v="1"/>
    <s v="No"/>
    <n v="0"/>
    <n v="1"/>
    <n v="4"/>
  </r>
  <r>
    <n v="3324"/>
    <x v="93"/>
    <x v="0"/>
    <d v="2024-05-29T00:00:00"/>
    <x v="1"/>
    <x v="0"/>
    <x v="2"/>
    <x v="0"/>
    <x v="0"/>
    <s v="Yes"/>
    <n v="20"/>
    <n v="20"/>
    <n v="45"/>
  </r>
  <r>
    <n v="3325"/>
    <x v="94"/>
    <x v="2"/>
    <d v="2024-05-30T00:00:00"/>
    <x v="0"/>
    <x v="2"/>
    <x v="2"/>
    <x v="1"/>
    <x v="1"/>
    <s v="Yes"/>
    <n v="20"/>
    <n v="15"/>
    <n v="15"/>
  </r>
  <r>
    <n v="3326"/>
    <x v="95"/>
    <x v="1"/>
    <d v="2024-05-31T00:00:00"/>
    <x v="1"/>
    <x v="1"/>
    <x v="1"/>
    <x v="1"/>
    <x v="1"/>
    <s v="No"/>
    <n v="0"/>
    <n v="0"/>
    <n v="5"/>
  </r>
  <r>
    <n v="3327"/>
    <x v="96"/>
    <x v="0"/>
    <d v="2024-06-01T00:00:00"/>
    <x v="0"/>
    <x v="0"/>
    <x v="0"/>
    <x v="0"/>
    <x v="0"/>
    <s v="Yes"/>
    <n v="20"/>
    <n v="7"/>
    <n v="58"/>
  </r>
  <r>
    <n v="3328"/>
    <x v="97"/>
    <x v="2"/>
    <d v="2024-06-02T00:00:00"/>
    <x v="1"/>
    <x v="2"/>
    <x v="1"/>
    <x v="1"/>
    <x v="1"/>
    <s v="Yes"/>
    <n v="20"/>
    <n v="10"/>
    <n v="20"/>
  </r>
  <r>
    <n v="3329"/>
    <x v="98"/>
    <x v="1"/>
    <d v="2024-06-03T00:00:00"/>
    <x v="0"/>
    <x v="1"/>
    <x v="2"/>
    <x v="1"/>
    <x v="1"/>
    <s v="No"/>
    <n v="0"/>
    <n v="1"/>
    <n v="4"/>
  </r>
  <r>
    <n v="3330"/>
    <x v="99"/>
    <x v="0"/>
    <d v="2024-06-04T00:00:00"/>
    <x v="1"/>
    <x v="0"/>
    <x v="0"/>
    <x v="0"/>
    <x v="0"/>
    <s v="Yes"/>
    <n v="20"/>
    <n v="15"/>
    <n v="50"/>
  </r>
  <r>
    <n v="3331"/>
    <x v="100"/>
    <x v="2"/>
    <d v="2024-06-05T00:00:00"/>
    <x v="0"/>
    <x v="2"/>
    <x v="0"/>
    <x v="1"/>
    <x v="1"/>
    <s v="Yes"/>
    <n v="20"/>
    <n v="5"/>
    <n v="25"/>
  </r>
  <r>
    <n v="3332"/>
    <x v="101"/>
    <x v="1"/>
    <d v="2024-06-06T00:00:00"/>
    <x v="1"/>
    <x v="1"/>
    <x v="1"/>
    <x v="1"/>
    <x v="1"/>
    <s v="No"/>
    <n v="0"/>
    <n v="0"/>
    <n v="5"/>
  </r>
  <r>
    <n v="3333"/>
    <x v="102"/>
    <x v="0"/>
    <d v="2024-06-07T00:00:00"/>
    <x v="0"/>
    <x v="0"/>
    <x v="2"/>
    <x v="0"/>
    <x v="0"/>
    <s v="Yes"/>
    <n v="20"/>
    <n v="20"/>
    <n v="45"/>
  </r>
  <r>
    <n v="3334"/>
    <x v="103"/>
    <x v="2"/>
    <d v="2024-06-08T00:00:00"/>
    <x v="1"/>
    <x v="2"/>
    <x v="2"/>
    <x v="1"/>
    <x v="1"/>
    <s v="Yes"/>
    <n v="20"/>
    <n v="12"/>
    <n v="18"/>
  </r>
  <r>
    <n v="3335"/>
    <x v="104"/>
    <x v="1"/>
    <d v="2024-06-09T00:00:00"/>
    <x v="0"/>
    <x v="1"/>
    <x v="0"/>
    <x v="1"/>
    <x v="1"/>
    <s v="No"/>
    <n v="0"/>
    <n v="2"/>
    <n v="3"/>
  </r>
  <r>
    <n v="3336"/>
    <x v="105"/>
    <x v="1"/>
    <d v="2024-06-10T00:00:00"/>
    <x v="0"/>
    <x v="1"/>
    <x v="0"/>
    <x v="1"/>
    <x v="1"/>
    <s v="No"/>
    <n v="0"/>
    <n v="0"/>
    <n v="5"/>
  </r>
  <r>
    <n v="3337"/>
    <x v="106"/>
    <x v="0"/>
    <d v="2024-06-11T00:00:00"/>
    <x v="1"/>
    <x v="0"/>
    <x v="2"/>
    <x v="0"/>
    <x v="0"/>
    <s v="Yes"/>
    <n v="20"/>
    <n v="7"/>
    <n v="58"/>
  </r>
  <r>
    <n v="3338"/>
    <x v="107"/>
    <x v="2"/>
    <d v="2024-06-12T00:00:00"/>
    <x v="0"/>
    <x v="2"/>
    <x v="1"/>
    <x v="1"/>
    <x v="1"/>
    <s v="Yes"/>
    <n v="20"/>
    <n v="10"/>
    <n v="20"/>
  </r>
  <r>
    <n v="3339"/>
    <x v="108"/>
    <x v="1"/>
    <d v="2024-06-13T00:00:00"/>
    <x v="1"/>
    <x v="1"/>
    <x v="2"/>
    <x v="1"/>
    <x v="1"/>
    <s v="No"/>
    <n v="0"/>
    <n v="1"/>
    <n v="4"/>
  </r>
  <r>
    <n v="3340"/>
    <x v="109"/>
    <x v="0"/>
    <d v="2024-06-14T00:00:00"/>
    <x v="0"/>
    <x v="0"/>
    <x v="0"/>
    <x v="0"/>
    <x v="0"/>
    <s v="Yes"/>
    <n v="20"/>
    <n v="15"/>
    <n v="50"/>
  </r>
  <r>
    <n v="3341"/>
    <x v="110"/>
    <x v="2"/>
    <d v="2024-06-15T00:00:00"/>
    <x v="1"/>
    <x v="2"/>
    <x v="0"/>
    <x v="1"/>
    <x v="1"/>
    <s v="Yes"/>
    <n v="20"/>
    <n v="5"/>
    <n v="25"/>
  </r>
  <r>
    <n v="3342"/>
    <x v="111"/>
    <x v="1"/>
    <d v="2024-06-16T00:00:00"/>
    <x v="0"/>
    <x v="1"/>
    <x v="1"/>
    <x v="1"/>
    <x v="1"/>
    <s v="No"/>
    <n v="0"/>
    <n v="0"/>
    <n v="5"/>
  </r>
  <r>
    <n v="3343"/>
    <x v="112"/>
    <x v="0"/>
    <d v="2024-06-17T00:00:00"/>
    <x v="1"/>
    <x v="0"/>
    <x v="2"/>
    <x v="0"/>
    <x v="0"/>
    <s v="Yes"/>
    <n v="20"/>
    <n v="20"/>
    <n v="45"/>
  </r>
  <r>
    <n v="3344"/>
    <x v="113"/>
    <x v="2"/>
    <d v="2024-06-18T00:00:00"/>
    <x v="0"/>
    <x v="2"/>
    <x v="2"/>
    <x v="1"/>
    <x v="1"/>
    <s v="Yes"/>
    <n v="20"/>
    <n v="12"/>
    <n v="18"/>
  </r>
  <r>
    <n v="3345"/>
    <x v="114"/>
    <x v="1"/>
    <d v="2024-06-19T00:00:00"/>
    <x v="1"/>
    <x v="1"/>
    <x v="0"/>
    <x v="1"/>
    <x v="1"/>
    <s v="No"/>
    <n v="0"/>
    <n v="2"/>
    <n v="3"/>
  </r>
  <r>
    <n v="3346"/>
    <x v="115"/>
    <x v="0"/>
    <d v="2024-06-20T00:00:00"/>
    <x v="0"/>
    <x v="0"/>
    <x v="1"/>
    <x v="0"/>
    <x v="0"/>
    <s v="Yes"/>
    <n v="20"/>
    <n v="5"/>
    <n v="60"/>
  </r>
  <r>
    <n v="3347"/>
    <x v="116"/>
    <x v="2"/>
    <d v="2024-06-21T00:00:00"/>
    <x v="1"/>
    <x v="2"/>
    <x v="0"/>
    <x v="1"/>
    <x v="1"/>
    <s v="Yes"/>
    <n v="20"/>
    <n v="10"/>
    <n v="20"/>
  </r>
  <r>
    <n v="3348"/>
    <x v="117"/>
    <x v="1"/>
    <d v="2024-06-22T00:00:00"/>
    <x v="0"/>
    <x v="1"/>
    <x v="2"/>
    <x v="1"/>
    <x v="1"/>
    <s v="No"/>
    <n v="0"/>
    <n v="0"/>
    <n v="5"/>
  </r>
  <r>
    <n v="3349"/>
    <x v="93"/>
    <x v="0"/>
    <d v="2024-06-23T00:00:00"/>
    <x v="1"/>
    <x v="0"/>
    <x v="0"/>
    <x v="0"/>
    <x v="0"/>
    <s v="Yes"/>
    <n v="20"/>
    <n v="3"/>
    <n v="62"/>
  </r>
  <r>
    <n v="3350"/>
    <x v="118"/>
    <x v="2"/>
    <d v="2024-06-24T00:00:00"/>
    <x v="0"/>
    <x v="2"/>
    <x v="1"/>
    <x v="1"/>
    <x v="1"/>
    <s v="Yes"/>
    <n v="20"/>
    <n v="15"/>
    <n v="15"/>
  </r>
  <r>
    <n v="3351"/>
    <x v="119"/>
    <x v="1"/>
    <d v="2024-06-25T00:00:00"/>
    <x v="1"/>
    <x v="1"/>
    <x v="0"/>
    <x v="1"/>
    <x v="1"/>
    <s v="No"/>
    <n v="0"/>
    <n v="1"/>
    <n v="4"/>
  </r>
  <r>
    <n v="3352"/>
    <x v="120"/>
    <x v="0"/>
    <d v="2024-06-26T00:00:00"/>
    <x v="0"/>
    <x v="0"/>
    <x v="2"/>
    <x v="0"/>
    <x v="0"/>
    <s v="Yes"/>
    <n v="20"/>
    <n v="7"/>
    <n v="58"/>
  </r>
  <r>
    <n v="3353"/>
    <x v="121"/>
    <x v="2"/>
    <d v="2024-06-27T00:00:00"/>
    <x v="1"/>
    <x v="2"/>
    <x v="0"/>
    <x v="1"/>
    <x v="1"/>
    <s v="Yes"/>
    <n v="20"/>
    <n v="10"/>
    <n v="20"/>
  </r>
  <r>
    <n v="3354"/>
    <x v="122"/>
    <x v="1"/>
    <d v="2024-06-28T00:00:00"/>
    <x v="0"/>
    <x v="1"/>
    <x v="1"/>
    <x v="1"/>
    <x v="1"/>
    <s v="No"/>
    <n v="0"/>
    <n v="0"/>
    <n v="5"/>
  </r>
  <r>
    <n v="3355"/>
    <x v="123"/>
    <x v="0"/>
    <d v="2024-06-29T00:00:00"/>
    <x v="1"/>
    <x v="0"/>
    <x v="0"/>
    <x v="0"/>
    <x v="0"/>
    <s v="Yes"/>
    <n v="20"/>
    <n v="20"/>
    <n v="45"/>
  </r>
  <r>
    <n v="3356"/>
    <x v="124"/>
    <x v="2"/>
    <d v="2024-06-30T00:00:00"/>
    <x v="0"/>
    <x v="2"/>
    <x v="2"/>
    <x v="1"/>
    <x v="1"/>
    <s v="Yes"/>
    <n v="20"/>
    <n v="15"/>
    <n v="15"/>
  </r>
  <r>
    <n v="3357"/>
    <x v="125"/>
    <x v="1"/>
    <d v="2024-07-01T00:00:00"/>
    <x v="1"/>
    <x v="1"/>
    <x v="0"/>
    <x v="1"/>
    <x v="1"/>
    <s v="No"/>
    <n v="0"/>
    <n v="1"/>
    <n v="4"/>
  </r>
  <r>
    <n v="3358"/>
    <x v="126"/>
    <x v="0"/>
    <d v="2024-07-02T00:00:00"/>
    <x v="0"/>
    <x v="0"/>
    <x v="1"/>
    <x v="0"/>
    <x v="0"/>
    <s v="Yes"/>
    <n v="20"/>
    <n v="3"/>
    <n v="62"/>
  </r>
  <r>
    <n v="3359"/>
    <x v="127"/>
    <x v="2"/>
    <d v="2024-07-03T00:00:00"/>
    <x v="1"/>
    <x v="2"/>
    <x v="0"/>
    <x v="1"/>
    <x v="1"/>
    <s v="Yes"/>
    <n v="20"/>
    <n v="10"/>
    <n v="20"/>
  </r>
  <r>
    <n v="3360"/>
    <x v="128"/>
    <x v="1"/>
    <d v="2024-07-04T00:00:00"/>
    <x v="0"/>
    <x v="1"/>
    <x v="2"/>
    <x v="1"/>
    <x v="1"/>
    <s v="No"/>
    <n v="0"/>
    <n v="0"/>
    <n v="5"/>
  </r>
  <r>
    <n v="3361"/>
    <x v="129"/>
    <x v="0"/>
    <d v="2024-07-05T00:00:00"/>
    <x v="1"/>
    <x v="0"/>
    <x v="0"/>
    <x v="0"/>
    <x v="0"/>
    <s v="Yes"/>
    <n v="20"/>
    <n v="15"/>
    <n v="50"/>
  </r>
  <r>
    <n v="3362"/>
    <x v="130"/>
    <x v="2"/>
    <d v="2024-07-06T00:00:00"/>
    <x v="0"/>
    <x v="2"/>
    <x v="1"/>
    <x v="1"/>
    <x v="1"/>
    <s v="Yes"/>
    <n v="20"/>
    <n v="15"/>
    <n v="15"/>
  </r>
  <r>
    <n v="3363"/>
    <x v="131"/>
    <x v="1"/>
    <d v="2024-07-07T00:00:00"/>
    <x v="1"/>
    <x v="1"/>
    <x v="0"/>
    <x v="1"/>
    <x v="1"/>
    <s v="No"/>
    <n v="0"/>
    <n v="1"/>
    <n v="4"/>
  </r>
  <r>
    <n v="3364"/>
    <x v="132"/>
    <x v="0"/>
    <d v="2024-07-08T00:00:00"/>
    <x v="0"/>
    <x v="0"/>
    <x v="2"/>
    <x v="0"/>
    <x v="0"/>
    <s v="Yes"/>
    <n v="20"/>
    <n v="7"/>
    <n v="58"/>
  </r>
  <r>
    <n v="3365"/>
    <x v="133"/>
    <x v="2"/>
    <d v="2024-07-09T00:00:00"/>
    <x v="1"/>
    <x v="2"/>
    <x v="0"/>
    <x v="1"/>
    <x v="1"/>
    <s v="Yes"/>
    <n v="20"/>
    <n v="10"/>
    <n v="20"/>
  </r>
  <r>
    <n v="3366"/>
    <x v="134"/>
    <x v="1"/>
    <d v="2024-07-10T00:00:00"/>
    <x v="0"/>
    <x v="1"/>
    <x v="0"/>
    <x v="1"/>
    <x v="1"/>
    <s v="No"/>
    <n v="0"/>
    <n v="0"/>
    <n v="5"/>
  </r>
  <r>
    <n v="3367"/>
    <x v="135"/>
    <x v="0"/>
    <d v="2024-07-11T00:00:00"/>
    <x v="1"/>
    <x v="0"/>
    <x v="2"/>
    <x v="0"/>
    <x v="0"/>
    <s v="Yes"/>
    <n v="20"/>
    <n v="7"/>
    <n v="58"/>
  </r>
  <r>
    <n v="3368"/>
    <x v="136"/>
    <x v="2"/>
    <d v="2024-07-12T00:00:00"/>
    <x v="0"/>
    <x v="2"/>
    <x v="1"/>
    <x v="1"/>
    <x v="1"/>
    <s v="Yes"/>
    <n v="20"/>
    <n v="10"/>
    <n v="20"/>
  </r>
  <r>
    <n v="3369"/>
    <x v="137"/>
    <x v="1"/>
    <d v="2024-07-13T00:00:00"/>
    <x v="1"/>
    <x v="1"/>
    <x v="2"/>
    <x v="1"/>
    <x v="1"/>
    <s v="No"/>
    <n v="0"/>
    <n v="1"/>
    <n v="4"/>
  </r>
  <r>
    <n v="3370"/>
    <x v="138"/>
    <x v="0"/>
    <d v="2024-07-14T00:00:00"/>
    <x v="0"/>
    <x v="0"/>
    <x v="0"/>
    <x v="0"/>
    <x v="0"/>
    <s v="Yes"/>
    <n v="20"/>
    <n v="15"/>
    <n v="50"/>
  </r>
  <r>
    <n v="3371"/>
    <x v="139"/>
    <x v="2"/>
    <d v="2024-07-15T00:00:00"/>
    <x v="1"/>
    <x v="2"/>
    <x v="0"/>
    <x v="1"/>
    <x v="1"/>
    <s v="Yes"/>
    <n v="20"/>
    <n v="5"/>
    <n v="25"/>
  </r>
  <r>
    <n v="3372"/>
    <x v="140"/>
    <x v="1"/>
    <d v="2024-07-16T00:00:00"/>
    <x v="0"/>
    <x v="1"/>
    <x v="1"/>
    <x v="1"/>
    <x v="1"/>
    <s v="No"/>
    <n v="0"/>
    <n v="0"/>
    <n v="5"/>
  </r>
  <r>
    <n v="3373"/>
    <x v="141"/>
    <x v="0"/>
    <d v="2024-07-17T00:00:00"/>
    <x v="1"/>
    <x v="0"/>
    <x v="2"/>
    <x v="0"/>
    <x v="0"/>
    <s v="Yes"/>
    <n v="20"/>
    <n v="20"/>
    <n v="45"/>
  </r>
  <r>
    <n v="3374"/>
    <x v="142"/>
    <x v="2"/>
    <d v="2024-07-18T00:00:00"/>
    <x v="0"/>
    <x v="2"/>
    <x v="2"/>
    <x v="1"/>
    <x v="1"/>
    <s v="Yes"/>
    <n v="20"/>
    <n v="12"/>
    <n v="18"/>
  </r>
  <r>
    <n v="3375"/>
    <x v="143"/>
    <x v="1"/>
    <d v="2024-07-19T00:00:00"/>
    <x v="1"/>
    <x v="1"/>
    <x v="0"/>
    <x v="1"/>
    <x v="1"/>
    <s v="No"/>
    <n v="0"/>
    <n v="2"/>
    <n v="3"/>
  </r>
  <r>
    <n v="3376"/>
    <x v="144"/>
    <x v="0"/>
    <d v="2024-07-20T00:00:00"/>
    <x v="0"/>
    <x v="0"/>
    <x v="1"/>
    <x v="0"/>
    <x v="0"/>
    <s v="Yes"/>
    <n v="20"/>
    <n v="5"/>
    <n v="60"/>
  </r>
  <r>
    <n v="3377"/>
    <x v="145"/>
    <x v="2"/>
    <d v="2024-07-21T00:00:00"/>
    <x v="1"/>
    <x v="2"/>
    <x v="0"/>
    <x v="1"/>
    <x v="1"/>
    <s v="Yes"/>
    <n v="20"/>
    <n v="10"/>
    <n v="20"/>
  </r>
  <r>
    <n v="3378"/>
    <x v="146"/>
    <x v="1"/>
    <d v="2024-07-22T00:00:00"/>
    <x v="0"/>
    <x v="1"/>
    <x v="2"/>
    <x v="1"/>
    <x v="1"/>
    <s v="No"/>
    <n v="0"/>
    <n v="0"/>
    <n v="5"/>
  </r>
  <r>
    <n v="3379"/>
    <x v="147"/>
    <x v="0"/>
    <d v="2024-07-23T00:00:00"/>
    <x v="1"/>
    <x v="0"/>
    <x v="0"/>
    <x v="0"/>
    <x v="0"/>
    <s v="Yes"/>
    <n v="20"/>
    <n v="3"/>
    <n v="62"/>
  </r>
  <r>
    <n v="3380"/>
    <x v="148"/>
    <x v="2"/>
    <d v="2024-07-24T00:00:00"/>
    <x v="0"/>
    <x v="2"/>
    <x v="1"/>
    <x v="1"/>
    <x v="1"/>
    <s v="Yes"/>
    <n v="20"/>
    <n v="15"/>
    <n v="15"/>
  </r>
  <r>
    <n v="3381"/>
    <x v="149"/>
    <x v="1"/>
    <d v="2024-07-25T00:00:00"/>
    <x v="1"/>
    <x v="1"/>
    <x v="0"/>
    <x v="1"/>
    <x v="1"/>
    <s v="No"/>
    <n v="0"/>
    <n v="1"/>
    <n v="4"/>
  </r>
  <r>
    <n v="3382"/>
    <x v="150"/>
    <x v="0"/>
    <d v="2024-07-26T00:00:00"/>
    <x v="0"/>
    <x v="0"/>
    <x v="2"/>
    <x v="0"/>
    <x v="0"/>
    <s v="Yes"/>
    <n v="20"/>
    <n v="7"/>
    <n v="58"/>
  </r>
  <r>
    <n v="3383"/>
    <x v="151"/>
    <x v="2"/>
    <d v="2024-07-27T00:00:00"/>
    <x v="1"/>
    <x v="2"/>
    <x v="0"/>
    <x v="1"/>
    <x v="1"/>
    <s v="Yes"/>
    <n v="20"/>
    <n v="10"/>
    <n v="20"/>
  </r>
  <r>
    <n v="3384"/>
    <x v="152"/>
    <x v="1"/>
    <d v="2024-07-28T00:00:00"/>
    <x v="0"/>
    <x v="1"/>
    <x v="1"/>
    <x v="1"/>
    <x v="1"/>
    <s v="No"/>
    <n v="0"/>
    <n v="0"/>
    <n v="5"/>
  </r>
  <r>
    <n v="3385"/>
    <x v="153"/>
    <x v="0"/>
    <d v="2024-07-29T00:00:00"/>
    <x v="1"/>
    <x v="0"/>
    <x v="0"/>
    <x v="0"/>
    <x v="0"/>
    <s v="Yes"/>
    <n v="20"/>
    <n v="20"/>
    <n v="45"/>
  </r>
  <r>
    <n v="3386"/>
    <x v="154"/>
    <x v="2"/>
    <d v="2024-07-30T00:00:00"/>
    <x v="0"/>
    <x v="2"/>
    <x v="2"/>
    <x v="1"/>
    <x v="1"/>
    <s v="Yes"/>
    <n v="20"/>
    <n v="15"/>
    <n v="15"/>
  </r>
  <r>
    <n v="3387"/>
    <x v="155"/>
    <x v="1"/>
    <d v="2024-07-31T00:00:00"/>
    <x v="1"/>
    <x v="1"/>
    <x v="0"/>
    <x v="1"/>
    <x v="1"/>
    <s v="No"/>
    <n v="0"/>
    <n v="1"/>
    <n v="4"/>
  </r>
  <r>
    <n v="3388"/>
    <x v="156"/>
    <x v="0"/>
    <d v="2024-08-01T00:00:00"/>
    <x v="0"/>
    <x v="0"/>
    <x v="1"/>
    <x v="0"/>
    <x v="0"/>
    <s v="Yes"/>
    <n v="20"/>
    <n v="3"/>
    <n v="62"/>
  </r>
  <r>
    <n v="3389"/>
    <x v="157"/>
    <x v="2"/>
    <d v="2024-08-02T00:00:00"/>
    <x v="1"/>
    <x v="2"/>
    <x v="0"/>
    <x v="1"/>
    <x v="1"/>
    <s v="Yes"/>
    <n v="20"/>
    <n v="10"/>
    <n v="20"/>
  </r>
  <r>
    <n v="3390"/>
    <x v="158"/>
    <x v="1"/>
    <d v="2024-08-03T00:00:00"/>
    <x v="0"/>
    <x v="1"/>
    <x v="2"/>
    <x v="1"/>
    <x v="1"/>
    <s v="No"/>
    <n v="0"/>
    <n v="0"/>
    <n v="5"/>
  </r>
  <r>
    <n v="3391"/>
    <x v="58"/>
    <x v="0"/>
    <d v="2024-08-04T00:00:00"/>
    <x v="1"/>
    <x v="0"/>
    <x v="0"/>
    <x v="0"/>
    <x v="0"/>
    <s v="Yes"/>
    <n v="20"/>
    <n v="15"/>
    <n v="50"/>
  </r>
  <r>
    <n v="3392"/>
    <x v="159"/>
    <x v="2"/>
    <d v="2024-08-05T00:00:00"/>
    <x v="0"/>
    <x v="2"/>
    <x v="1"/>
    <x v="1"/>
    <x v="1"/>
    <s v="Yes"/>
    <n v="20"/>
    <n v="15"/>
    <n v="15"/>
  </r>
  <r>
    <n v="3393"/>
    <x v="160"/>
    <x v="1"/>
    <d v="2024-08-06T00:00:00"/>
    <x v="1"/>
    <x v="1"/>
    <x v="0"/>
    <x v="1"/>
    <x v="1"/>
    <s v="No"/>
    <n v="0"/>
    <n v="1"/>
    <n v="4"/>
  </r>
  <r>
    <n v="3394"/>
    <x v="161"/>
    <x v="0"/>
    <d v="2024-08-07T00:00:00"/>
    <x v="0"/>
    <x v="0"/>
    <x v="2"/>
    <x v="0"/>
    <x v="0"/>
    <s v="Yes"/>
    <n v="20"/>
    <n v="7"/>
    <n v="58"/>
  </r>
  <r>
    <n v="3395"/>
    <x v="162"/>
    <x v="2"/>
    <d v="2024-08-08T00:00:00"/>
    <x v="1"/>
    <x v="2"/>
    <x v="0"/>
    <x v="1"/>
    <x v="1"/>
    <s v="Yes"/>
    <n v="20"/>
    <n v="10"/>
    <n v="20"/>
  </r>
  <r>
    <n v="3396"/>
    <x v="163"/>
    <x v="1"/>
    <d v="2024-08-09T00:00:00"/>
    <x v="0"/>
    <x v="1"/>
    <x v="1"/>
    <x v="1"/>
    <x v="1"/>
    <s v="No"/>
    <n v="0"/>
    <n v="0"/>
    <n v="5"/>
  </r>
  <r>
    <n v="3397"/>
    <x v="90"/>
    <x v="0"/>
    <d v="2024-08-10T00:00:00"/>
    <x v="1"/>
    <x v="0"/>
    <x v="0"/>
    <x v="0"/>
    <x v="0"/>
    <s v="Yes"/>
    <n v="20"/>
    <n v="20"/>
    <n v="45"/>
  </r>
  <r>
    <n v="3398"/>
    <x v="164"/>
    <x v="2"/>
    <d v="2024-08-11T00:00:00"/>
    <x v="0"/>
    <x v="2"/>
    <x v="2"/>
    <x v="1"/>
    <x v="1"/>
    <s v="Yes"/>
    <n v="20"/>
    <n v="15"/>
    <n v="15"/>
  </r>
  <r>
    <n v="3399"/>
    <x v="165"/>
    <x v="1"/>
    <d v="2024-08-12T00:00:00"/>
    <x v="1"/>
    <x v="1"/>
    <x v="0"/>
    <x v="1"/>
    <x v="1"/>
    <s v="No"/>
    <n v="0"/>
    <n v="1"/>
    <n v="4"/>
  </r>
  <r>
    <n v="3400"/>
    <x v="166"/>
    <x v="0"/>
    <d v="2024-08-13T00:00:00"/>
    <x v="0"/>
    <x v="0"/>
    <x v="1"/>
    <x v="0"/>
    <x v="0"/>
    <s v="Yes"/>
    <n v="20"/>
    <n v="5"/>
    <n v="60"/>
  </r>
  <r>
    <n v="3401"/>
    <x v="167"/>
    <x v="2"/>
    <d v="2024-08-14T00:00:00"/>
    <x v="1"/>
    <x v="2"/>
    <x v="0"/>
    <x v="1"/>
    <x v="1"/>
    <s v="Yes"/>
    <n v="20"/>
    <n v="10"/>
    <n v="20"/>
  </r>
  <r>
    <n v="3402"/>
    <x v="168"/>
    <x v="1"/>
    <d v="2024-08-15T00:00:00"/>
    <x v="0"/>
    <x v="1"/>
    <x v="2"/>
    <x v="1"/>
    <x v="1"/>
    <s v="No"/>
    <n v="0"/>
    <n v="0"/>
    <n v="5"/>
  </r>
  <r>
    <n v="3403"/>
    <x v="169"/>
    <x v="0"/>
    <d v="2024-08-16T00:00:00"/>
    <x v="1"/>
    <x v="0"/>
    <x v="0"/>
    <x v="0"/>
    <x v="0"/>
    <s v="Yes"/>
    <n v="20"/>
    <n v="3"/>
    <n v="62"/>
  </r>
  <r>
    <n v="3404"/>
    <x v="170"/>
    <x v="2"/>
    <d v="2024-08-17T00:00:00"/>
    <x v="0"/>
    <x v="2"/>
    <x v="1"/>
    <x v="1"/>
    <x v="1"/>
    <s v="Yes"/>
    <n v="20"/>
    <n v="15"/>
    <n v="15"/>
  </r>
  <r>
    <n v="3405"/>
    <x v="171"/>
    <x v="1"/>
    <d v="2024-08-18T00:00:00"/>
    <x v="1"/>
    <x v="1"/>
    <x v="0"/>
    <x v="1"/>
    <x v="1"/>
    <s v="No"/>
    <n v="0"/>
    <n v="1"/>
    <n v="4"/>
  </r>
  <r>
    <n v="3406"/>
    <x v="172"/>
    <x v="1"/>
    <d v="2024-08-19T00:00:00"/>
    <x v="0"/>
    <x v="1"/>
    <x v="0"/>
    <x v="1"/>
    <x v="1"/>
    <s v="No"/>
    <n v="0"/>
    <n v="0"/>
    <n v="5"/>
  </r>
  <r>
    <n v="3407"/>
    <x v="173"/>
    <x v="0"/>
    <d v="2024-08-20T00:00:00"/>
    <x v="1"/>
    <x v="0"/>
    <x v="2"/>
    <x v="0"/>
    <x v="0"/>
    <s v="Yes"/>
    <n v="20"/>
    <n v="7"/>
    <n v="58"/>
  </r>
  <r>
    <n v="3408"/>
    <x v="174"/>
    <x v="2"/>
    <d v="2024-08-21T00:00:00"/>
    <x v="0"/>
    <x v="2"/>
    <x v="1"/>
    <x v="1"/>
    <x v="1"/>
    <s v="Yes"/>
    <n v="20"/>
    <n v="10"/>
    <n v="20"/>
  </r>
  <r>
    <n v="3409"/>
    <x v="175"/>
    <x v="1"/>
    <d v="2024-08-22T00:00:00"/>
    <x v="1"/>
    <x v="1"/>
    <x v="2"/>
    <x v="1"/>
    <x v="1"/>
    <s v="No"/>
    <n v="0"/>
    <n v="1"/>
    <n v="4"/>
  </r>
  <r>
    <n v="3410"/>
    <x v="176"/>
    <x v="0"/>
    <d v="2024-08-23T00:00:00"/>
    <x v="0"/>
    <x v="0"/>
    <x v="0"/>
    <x v="0"/>
    <x v="0"/>
    <s v="Yes"/>
    <n v="20"/>
    <n v="15"/>
    <n v="50"/>
  </r>
  <r>
    <n v="3411"/>
    <x v="177"/>
    <x v="2"/>
    <d v="2024-08-24T00:00:00"/>
    <x v="1"/>
    <x v="2"/>
    <x v="0"/>
    <x v="1"/>
    <x v="1"/>
    <s v="Yes"/>
    <n v="20"/>
    <n v="5"/>
    <n v="25"/>
  </r>
  <r>
    <n v="3412"/>
    <x v="178"/>
    <x v="1"/>
    <d v="2024-08-25T00:00:00"/>
    <x v="0"/>
    <x v="1"/>
    <x v="1"/>
    <x v="1"/>
    <x v="1"/>
    <s v="No"/>
    <n v="0"/>
    <n v="0"/>
    <n v="5"/>
  </r>
  <r>
    <n v="3413"/>
    <x v="179"/>
    <x v="0"/>
    <d v="2024-08-26T00:00:00"/>
    <x v="1"/>
    <x v="0"/>
    <x v="2"/>
    <x v="0"/>
    <x v="0"/>
    <s v="Yes"/>
    <n v="20"/>
    <n v="20"/>
    <n v="45"/>
  </r>
  <r>
    <n v="3414"/>
    <x v="180"/>
    <x v="2"/>
    <d v="2024-08-27T00:00:00"/>
    <x v="0"/>
    <x v="2"/>
    <x v="2"/>
    <x v="1"/>
    <x v="1"/>
    <s v="Yes"/>
    <n v="20"/>
    <n v="12"/>
    <n v="18"/>
  </r>
  <r>
    <n v="3415"/>
    <x v="181"/>
    <x v="1"/>
    <d v="2024-08-28T00:00:00"/>
    <x v="1"/>
    <x v="1"/>
    <x v="0"/>
    <x v="1"/>
    <x v="1"/>
    <s v="No"/>
    <n v="0"/>
    <n v="2"/>
    <n v="3"/>
  </r>
  <r>
    <n v="3416"/>
    <x v="182"/>
    <x v="0"/>
    <d v="2024-08-29T00:00:00"/>
    <x v="0"/>
    <x v="0"/>
    <x v="1"/>
    <x v="0"/>
    <x v="0"/>
    <s v="Yes"/>
    <n v="20"/>
    <n v="5"/>
    <n v="60"/>
  </r>
  <r>
    <n v="3417"/>
    <x v="183"/>
    <x v="2"/>
    <d v="2024-08-30T00:00:00"/>
    <x v="1"/>
    <x v="2"/>
    <x v="0"/>
    <x v="1"/>
    <x v="1"/>
    <s v="Yes"/>
    <n v="20"/>
    <n v="10"/>
    <n v="20"/>
  </r>
  <r>
    <n v="3418"/>
    <x v="184"/>
    <x v="1"/>
    <d v="2024-08-31T00:00:00"/>
    <x v="0"/>
    <x v="1"/>
    <x v="2"/>
    <x v="1"/>
    <x v="1"/>
    <s v="No"/>
    <n v="0"/>
    <n v="0"/>
    <n v="5"/>
  </r>
  <r>
    <n v="3419"/>
    <x v="185"/>
    <x v="0"/>
    <d v="2024-09-01T00:00:00"/>
    <x v="1"/>
    <x v="0"/>
    <x v="0"/>
    <x v="0"/>
    <x v="0"/>
    <s v="Yes"/>
    <n v="20"/>
    <n v="3"/>
    <n v="62"/>
  </r>
  <r>
    <n v="3420"/>
    <x v="186"/>
    <x v="2"/>
    <d v="2024-09-02T00:00:00"/>
    <x v="0"/>
    <x v="2"/>
    <x v="1"/>
    <x v="1"/>
    <x v="1"/>
    <s v="Yes"/>
    <n v="20"/>
    <n v="15"/>
    <n v="15"/>
  </r>
  <r>
    <n v="3421"/>
    <x v="15"/>
    <x v="1"/>
    <d v="2024-09-03T00:00:00"/>
    <x v="1"/>
    <x v="1"/>
    <x v="0"/>
    <x v="1"/>
    <x v="1"/>
    <s v="No"/>
    <n v="0"/>
    <n v="1"/>
    <n v="4"/>
  </r>
  <r>
    <n v="3422"/>
    <x v="187"/>
    <x v="0"/>
    <d v="2024-09-04T00:00:00"/>
    <x v="0"/>
    <x v="0"/>
    <x v="2"/>
    <x v="0"/>
    <x v="0"/>
    <s v="Yes"/>
    <n v="20"/>
    <n v="7"/>
    <n v="58"/>
  </r>
  <r>
    <n v="3423"/>
    <x v="188"/>
    <x v="2"/>
    <d v="2024-09-05T00:00:00"/>
    <x v="1"/>
    <x v="2"/>
    <x v="0"/>
    <x v="1"/>
    <x v="1"/>
    <s v="Yes"/>
    <n v="20"/>
    <n v="10"/>
    <n v="20"/>
  </r>
  <r>
    <n v="3424"/>
    <x v="14"/>
    <x v="1"/>
    <d v="2024-09-06T00:00:00"/>
    <x v="0"/>
    <x v="1"/>
    <x v="1"/>
    <x v="1"/>
    <x v="1"/>
    <s v="No"/>
    <n v="0"/>
    <n v="0"/>
    <n v="5"/>
  </r>
  <r>
    <n v="3425"/>
    <x v="189"/>
    <x v="0"/>
    <d v="2024-09-07T00:00:00"/>
    <x v="1"/>
    <x v="0"/>
    <x v="0"/>
    <x v="0"/>
    <x v="0"/>
    <s v="Yes"/>
    <n v="20"/>
    <n v="20"/>
    <n v="45"/>
  </r>
  <r>
    <n v="3426"/>
    <x v="167"/>
    <x v="2"/>
    <d v="2024-09-08T00:00:00"/>
    <x v="0"/>
    <x v="2"/>
    <x v="2"/>
    <x v="1"/>
    <x v="1"/>
    <s v="Yes"/>
    <n v="20"/>
    <n v="15"/>
    <n v="15"/>
  </r>
  <r>
    <n v="3427"/>
    <x v="190"/>
    <x v="1"/>
    <d v="2024-09-09T00:00:00"/>
    <x v="1"/>
    <x v="1"/>
    <x v="0"/>
    <x v="1"/>
    <x v="1"/>
    <s v="No"/>
    <n v="0"/>
    <n v="1"/>
    <n v="4"/>
  </r>
  <r>
    <n v="3428"/>
    <x v="191"/>
    <x v="0"/>
    <d v="2024-09-10T00:00:00"/>
    <x v="0"/>
    <x v="0"/>
    <x v="1"/>
    <x v="0"/>
    <x v="0"/>
    <s v="Yes"/>
    <n v="20"/>
    <n v="3"/>
    <n v="62"/>
  </r>
  <r>
    <n v="3429"/>
    <x v="192"/>
    <x v="2"/>
    <d v="2024-09-11T00:00:00"/>
    <x v="1"/>
    <x v="2"/>
    <x v="0"/>
    <x v="1"/>
    <x v="1"/>
    <s v="Yes"/>
    <n v="20"/>
    <n v="10"/>
    <n v="20"/>
  </r>
  <r>
    <n v="3430"/>
    <x v="193"/>
    <x v="1"/>
    <d v="2024-09-12T00:00:00"/>
    <x v="0"/>
    <x v="1"/>
    <x v="2"/>
    <x v="1"/>
    <x v="1"/>
    <s v="No"/>
    <n v="0"/>
    <n v="0"/>
    <n v="5"/>
  </r>
  <r>
    <n v="3431"/>
    <x v="194"/>
    <x v="0"/>
    <d v="2024-09-13T00:00:00"/>
    <x v="1"/>
    <x v="0"/>
    <x v="0"/>
    <x v="0"/>
    <x v="0"/>
    <s v="Yes"/>
    <n v="20"/>
    <n v="15"/>
    <n v="50"/>
  </r>
  <r>
    <n v="3432"/>
    <x v="195"/>
    <x v="2"/>
    <d v="2024-09-14T00:00:00"/>
    <x v="0"/>
    <x v="2"/>
    <x v="1"/>
    <x v="1"/>
    <x v="1"/>
    <s v="Yes"/>
    <n v="20"/>
    <n v="15"/>
    <n v="15"/>
  </r>
  <r>
    <n v="3433"/>
    <x v="196"/>
    <x v="1"/>
    <d v="2024-09-15T00:00:00"/>
    <x v="1"/>
    <x v="1"/>
    <x v="0"/>
    <x v="1"/>
    <x v="1"/>
    <s v="No"/>
    <n v="0"/>
    <n v="1"/>
    <n v="4"/>
  </r>
  <r>
    <n v="3434"/>
    <x v="197"/>
    <x v="0"/>
    <d v="2024-09-16T00:00:00"/>
    <x v="0"/>
    <x v="0"/>
    <x v="2"/>
    <x v="0"/>
    <x v="0"/>
    <s v="Yes"/>
    <n v="20"/>
    <n v="7"/>
    <n v="58"/>
  </r>
  <r>
    <n v="3435"/>
    <x v="198"/>
    <x v="2"/>
    <d v="2024-09-17T00:00:00"/>
    <x v="1"/>
    <x v="2"/>
    <x v="0"/>
    <x v="1"/>
    <x v="1"/>
    <s v="Yes"/>
    <n v="20"/>
    <n v="10"/>
    <n v="20"/>
  </r>
  <r>
    <n v="3436"/>
    <x v="199"/>
    <x v="1"/>
    <d v="2024-09-18T00:00:00"/>
    <x v="0"/>
    <x v="1"/>
    <x v="0"/>
    <x v="1"/>
    <x v="1"/>
    <s v="No"/>
    <n v="0"/>
    <n v="0"/>
    <n v="5"/>
  </r>
  <r>
    <n v="3437"/>
    <x v="200"/>
    <x v="0"/>
    <d v="2024-09-19T00:00:00"/>
    <x v="1"/>
    <x v="0"/>
    <x v="2"/>
    <x v="0"/>
    <x v="0"/>
    <s v="Yes"/>
    <n v="20"/>
    <n v="7"/>
    <n v="58"/>
  </r>
  <r>
    <n v="3438"/>
    <x v="201"/>
    <x v="2"/>
    <d v="2024-09-20T00:00:00"/>
    <x v="0"/>
    <x v="2"/>
    <x v="1"/>
    <x v="1"/>
    <x v="1"/>
    <s v="Yes"/>
    <n v="20"/>
    <n v="10"/>
    <n v="20"/>
  </r>
  <r>
    <n v="3439"/>
    <x v="202"/>
    <x v="1"/>
    <d v="2024-09-21T00:00:00"/>
    <x v="1"/>
    <x v="1"/>
    <x v="2"/>
    <x v="1"/>
    <x v="1"/>
    <s v="No"/>
    <n v="0"/>
    <n v="1"/>
    <n v="4"/>
  </r>
  <r>
    <n v="3440"/>
    <x v="203"/>
    <x v="0"/>
    <d v="2024-09-22T00:00:00"/>
    <x v="0"/>
    <x v="0"/>
    <x v="0"/>
    <x v="0"/>
    <x v="0"/>
    <s v="Yes"/>
    <n v="20"/>
    <n v="15"/>
    <n v="50"/>
  </r>
  <r>
    <n v="3441"/>
    <x v="204"/>
    <x v="2"/>
    <d v="2024-09-23T00:00:00"/>
    <x v="1"/>
    <x v="2"/>
    <x v="0"/>
    <x v="1"/>
    <x v="1"/>
    <s v="Yes"/>
    <n v="20"/>
    <n v="5"/>
    <n v="25"/>
  </r>
  <r>
    <n v="3442"/>
    <x v="205"/>
    <x v="1"/>
    <d v="2024-09-24T00:00:00"/>
    <x v="0"/>
    <x v="1"/>
    <x v="1"/>
    <x v="1"/>
    <x v="1"/>
    <s v="No"/>
    <n v="0"/>
    <n v="0"/>
    <n v="5"/>
  </r>
  <r>
    <n v="3443"/>
    <x v="206"/>
    <x v="0"/>
    <d v="2024-09-25T00:00:00"/>
    <x v="1"/>
    <x v="0"/>
    <x v="2"/>
    <x v="0"/>
    <x v="0"/>
    <s v="Yes"/>
    <n v="20"/>
    <n v="20"/>
    <n v="45"/>
  </r>
  <r>
    <n v="3444"/>
    <x v="207"/>
    <x v="2"/>
    <d v="2024-09-26T00:00:00"/>
    <x v="0"/>
    <x v="2"/>
    <x v="2"/>
    <x v="1"/>
    <x v="1"/>
    <s v="Yes"/>
    <n v="20"/>
    <n v="12"/>
    <n v="18"/>
  </r>
  <r>
    <n v="3445"/>
    <x v="37"/>
    <x v="1"/>
    <d v="2024-09-27T00:00:00"/>
    <x v="1"/>
    <x v="1"/>
    <x v="0"/>
    <x v="1"/>
    <x v="1"/>
    <s v="No"/>
    <n v="0"/>
    <n v="2"/>
    <n v="3"/>
  </r>
  <r>
    <n v="3446"/>
    <x v="208"/>
    <x v="0"/>
    <d v="2024-09-28T00:00:00"/>
    <x v="0"/>
    <x v="0"/>
    <x v="1"/>
    <x v="0"/>
    <x v="0"/>
    <s v="Yes"/>
    <n v="20"/>
    <n v="5"/>
    <n v="60"/>
  </r>
  <r>
    <n v="3447"/>
    <x v="209"/>
    <x v="2"/>
    <d v="2024-09-29T00:00:00"/>
    <x v="1"/>
    <x v="2"/>
    <x v="0"/>
    <x v="1"/>
    <x v="1"/>
    <s v="Yes"/>
    <n v="20"/>
    <n v="10"/>
    <n v="20"/>
  </r>
  <r>
    <n v="3448"/>
    <x v="210"/>
    <x v="1"/>
    <d v="2024-09-30T00:00:00"/>
    <x v="0"/>
    <x v="1"/>
    <x v="2"/>
    <x v="1"/>
    <x v="1"/>
    <s v="No"/>
    <n v="0"/>
    <n v="0"/>
    <n v="5"/>
  </r>
  <r>
    <n v="3449"/>
    <x v="211"/>
    <x v="0"/>
    <d v="2024-10-01T00:00:00"/>
    <x v="1"/>
    <x v="0"/>
    <x v="0"/>
    <x v="0"/>
    <x v="0"/>
    <s v="Yes"/>
    <n v="20"/>
    <n v="3"/>
    <n v="62"/>
  </r>
  <r>
    <n v="3450"/>
    <x v="212"/>
    <x v="2"/>
    <d v="2024-10-02T00:00:00"/>
    <x v="0"/>
    <x v="2"/>
    <x v="1"/>
    <x v="1"/>
    <x v="1"/>
    <s v="Yes"/>
    <n v="20"/>
    <n v="15"/>
    <n v="15"/>
  </r>
  <r>
    <n v="3451"/>
    <x v="213"/>
    <x v="1"/>
    <d v="2024-10-03T00:00:00"/>
    <x v="1"/>
    <x v="1"/>
    <x v="0"/>
    <x v="1"/>
    <x v="1"/>
    <s v="No"/>
    <n v="0"/>
    <n v="1"/>
    <n v="4"/>
  </r>
  <r>
    <n v="3452"/>
    <x v="191"/>
    <x v="0"/>
    <d v="2024-10-04T00:00:00"/>
    <x v="0"/>
    <x v="0"/>
    <x v="2"/>
    <x v="0"/>
    <x v="0"/>
    <s v="Yes"/>
    <n v="20"/>
    <n v="7"/>
    <n v="58"/>
  </r>
  <r>
    <n v="3453"/>
    <x v="45"/>
    <x v="2"/>
    <d v="2024-10-05T00:00:00"/>
    <x v="1"/>
    <x v="2"/>
    <x v="0"/>
    <x v="1"/>
    <x v="1"/>
    <s v="Yes"/>
    <n v="20"/>
    <n v="10"/>
    <n v="20"/>
  </r>
  <r>
    <n v="3454"/>
    <x v="214"/>
    <x v="1"/>
    <d v="2024-10-06T00:00:00"/>
    <x v="0"/>
    <x v="1"/>
    <x v="1"/>
    <x v="1"/>
    <x v="1"/>
    <s v="No"/>
    <n v="0"/>
    <n v="0"/>
    <n v="5"/>
  </r>
  <r>
    <n v="3455"/>
    <x v="215"/>
    <x v="0"/>
    <d v="2024-10-07T00:00:00"/>
    <x v="1"/>
    <x v="0"/>
    <x v="0"/>
    <x v="0"/>
    <x v="0"/>
    <s v="Yes"/>
    <n v="20"/>
    <n v="20"/>
    <n v="45"/>
  </r>
  <r>
    <n v="3456"/>
    <x v="216"/>
    <x v="2"/>
    <d v="2024-10-08T00:00:00"/>
    <x v="0"/>
    <x v="2"/>
    <x v="2"/>
    <x v="1"/>
    <x v="1"/>
    <s v="Yes"/>
    <n v="20"/>
    <n v="15"/>
    <n v="15"/>
  </r>
  <r>
    <n v="3457"/>
    <x v="217"/>
    <x v="1"/>
    <d v="2024-10-09T00:00:00"/>
    <x v="1"/>
    <x v="1"/>
    <x v="0"/>
    <x v="1"/>
    <x v="1"/>
    <s v="No"/>
    <n v="0"/>
    <n v="1"/>
    <n v="4"/>
  </r>
  <r>
    <n v="3458"/>
    <x v="218"/>
    <x v="0"/>
    <d v="2024-10-10T00:00:00"/>
    <x v="0"/>
    <x v="0"/>
    <x v="1"/>
    <x v="0"/>
    <x v="0"/>
    <s v="Yes"/>
    <n v="20"/>
    <n v="3"/>
    <n v="62"/>
  </r>
  <r>
    <n v="3459"/>
    <x v="219"/>
    <x v="2"/>
    <d v="2024-10-11T00:00:00"/>
    <x v="1"/>
    <x v="2"/>
    <x v="0"/>
    <x v="1"/>
    <x v="1"/>
    <s v="Yes"/>
    <n v="20"/>
    <n v="10"/>
    <n v="20"/>
  </r>
  <r>
    <n v="3460"/>
    <x v="127"/>
    <x v="1"/>
    <d v="2024-10-12T00:00:00"/>
    <x v="0"/>
    <x v="1"/>
    <x v="2"/>
    <x v="1"/>
    <x v="1"/>
    <s v="No"/>
    <n v="0"/>
    <n v="0"/>
    <n v="5"/>
  </r>
  <r>
    <n v="3461"/>
    <x v="220"/>
    <x v="0"/>
    <d v="2024-10-13T00:00:00"/>
    <x v="1"/>
    <x v="0"/>
    <x v="0"/>
    <x v="0"/>
    <x v="0"/>
    <s v="Yes"/>
    <n v="20"/>
    <n v="15"/>
    <n v="50"/>
  </r>
  <r>
    <n v="3462"/>
    <x v="221"/>
    <x v="2"/>
    <d v="2024-10-14T00:00:00"/>
    <x v="0"/>
    <x v="2"/>
    <x v="1"/>
    <x v="1"/>
    <x v="1"/>
    <s v="Yes"/>
    <n v="20"/>
    <n v="15"/>
    <n v="15"/>
  </r>
  <r>
    <n v="3463"/>
    <x v="222"/>
    <x v="1"/>
    <d v="2024-10-15T00:00:00"/>
    <x v="1"/>
    <x v="1"/>
    <x v="0"/>
    <x v="1"/>
    <x v="1"/>
    <s v="No"/>
    <n v="0"/>
    <n v="1"/>
    <n v="4"/>
  </r>
  <r>
    <n v="3464"/>
    <x v="223"/>
    <x v="0"/>
    <d v="2024-10-16T00:00:00"/>
    <x v="0"/>
    <x v="0"/>
    <x v="2"/>
    <x v="0"/>
    <x v="0"/>
    <s v="Yes"/>
    <n v="20"/>
    <n v="7"/>
    <n v="58"/>
  </r>
  <r>
    <n v="3465"/>
    <x v="224"/>
    <x v="2"/>
    <d v="2024-10-17T00:00:00"/>
    <x v="1"/>
    <x v="2"/>
    <x v="0"/>
    <x v="1"/>
    <x v="1"/>
    <s v="Yes"/>
    <n v="20"/>
    <n v="10"/>
    <n v="20"/>
  </r>
  <r>
    <n v="3466"/>
    <x v="225"/>
    <x v="1"/>
    <d v="2024-10-18T00:00:00"/>
    <x v="0"/>
    <x v="1"/>
    <x v="1"/>
    <x v="1"/>
    <x v="1"/>
    <s v="No"/>
    <n v="0"/>
    <n v="0"/>
    <n v="5"/>
  </r>
  <r>
    <n v="3467"/>
    <x v="226"/>
    <x v="0"/>
    <d v="2024-10-19T00:00:00"/>
    <x v="1"/>
    <x v="0"/>
    <x v="0"/>
    <x v="0"/>
    <x v="0"/>
    <s v="Yes"/>
    <n v="20"/>
    <n v="15"/>
    <n v="50"/>
  </r>
  <r>
    <n v="3468"/>
    <x v="227"/>
    <x v="2"/>
    <d v="2024-10-20T00:00:00"/>
    <x v="0"/>
    <x v="2"/>
    <x v="2"/>
    <x v="1"/>
    <x v="1"/>
    <s v="Yes"/>
    <n v="20"/>
    <n v="12"/>
    <n v="18"/>
  </r>
  <r>
    <n v="3469"/>
    <x v="228"/>
    <x v="1"/>
    <d v="2024-10-21T00:00:00"/>
    <x v="1"/>
    <x v="1"/>
    <x v="0"/>
    <x v="1"/>
    <x v="1"/>
    <s v="No"/>
    <n v="0"/>
    <n v="2"/>
    <n v="3"/>
  </r>
  <r>
    <n v="3470"/>
    <x v="229"/>
    <x v="0"/>
    <d v="2024-10-22T00:00:00"/>
    <x v="0"/>
    <x v="0"/>
    <x v="1"/>
    <x v="0"/>
    <x v="0"/>
    <s v="Yes"/>
    <n v="20"/>
    <n v="5"/>
    <n v="60"/>
  </r>
  <r>
    <n v="3471"/>
    <x v="230"/>
    <x v="2"/>
    <d v="2024-10-23T00:00:00"/>
    <x v="1"/>
    <x v="2"/>
    <x v="0"/>
    <x v="1"/>
    <x v="1"/>
    <s v="Yes"/>
    <n v="20"/>
    <n v="10"/>
    <n v="20"/>
  </r>
  <r>
    <n v="3472"/>
    <x v="231"/>
    <x v="1"/>
    <d v="2024-10-24T00:00:00"/>
    <x v="0"/>
    <x v="1"/>
    <x v="2"/>
    <x v="1"/>
    <x v="1"/>
    <s v="No"/>
    <n v="0"/>
    <n v="0"/>
    <n v="5"/>
  </r>
  <r>
    <n v="3473"/>
    <x v="140"/>
    <x v="0"/>
    <d v="2024-10-25T00:00:00"/>
    <x v="1"/>
    <x v="0"/>
    <x v="0"/>
    <x v="0"/>
    <x v="0"/>
    <s v="Yes"/>
    <n v="20"/>
    <n v="3"/>
    <n v="62"/>
  </r>
  <r>
    <n v="3474"/>
    <x v="232"/>
    <x v="2"/>
    <d v="2024-10-26T00:00:00"/>
    <x v="0"/>
    <x v="2"/>
    <x v="1"/>
    <x v="1"/>
    <x v="1"/>
    <s v="Yes"/>
    <n v="20"/>
    <n v="15"/>
    <n v="15"/>
  </r>
  <r>
    <n v="3475"/>
    <x v="233"/>
    <x v="1"/>
    <d v="2024-10-27T00:00:00"/>
    <x v="1"/>
    <x v="1"/>
    <x v="0"/>
    <x v="1"/>
    <x v="1"/>
    <s v="No"/>
    <n v="0"/>
    <n v="1"/>
    <n v="4"/>
  </r>
  <r>
    <n v="3476"/>
    <x v="234"/>
    <x v="0"/>
    <d v="2024-10-28T00:00:00"/>
    <x v="0"/>
    <x v="0"/>
    <x v="2"/>
    <x v="0"/>
    <x v="0"/>
    <s v="Yes"/>
    <n v="20"/>
    <n v="7"/>
    <n v="58"/>
  </r>
  <r>
    <n v="3477"/>
    <x v="235"/>
    <x v="2"/>
    <d v="2024-10-29T00:00:00"/>
    <x v="1"/>
    <x v="2"/>
    <x v="0"/>
    <x v="1"/>
    <x v="1"/>
    <s v="Yes"/>
    <n v="20"/>
    <n v="10"/>
    <n v="20"/>
  </r>
  <r>
    <n v="3478"/>
    <x v="236"/>
    <x v="1"/>
    <d v="2024-10-30T00:00:00"/>
    <x v="0"/>
    <x v="1"/>
    <x v="1"/>
    <x v="1"/>
    <x v="1"/>
    <s v="No"/>
    <n v="0"/>
    <n v="0"/>
    <n v="5"/>
  </r>
  <r>
    <n v="3479"/>
    <x v="237"/>
    <x v="0"/>
    <d v="2024-10-31T00:00:00"/>
    <x v="1"/>
    <x v="0"/>
    <x v="0"/>
    <x v="0"/>
    <x v="0"/>
    <s v="Yes"/>
    <n v="20"/>
    <n v="20"/>
    <n v="45"/>
  </r>
  <r>
    <n v="3480"/>
    <x v="238"/>
    <x v="2"/>
    <d v="2024-11-01T00:00:00"/>
    <x v="0"/>
    <x v="2"/>
    <x v="2"/>
    <x v="1"/>
    <x v="1"/>
    <s v="Yes"/>
    <n v="20"/>
    <n v="15"/>
    <n v="15"/>
  </r>
  <r>
    <n v="3481"/>
    <x v="239"/>
    <x v="1"/>
    <d v="2024-11-02T00:00:00"/>
    <x v="1"/>
    <x v="1"/>
    <x v="0"/>
    <x v="1"/>
    <x v="1"/>
    <s v="No"/>
    <n v="0"/>
    <n v="1"/>
    <n v="4"/>
  </r>
  <r>
    <n v="3482"/>
    <x v="240"/>
    <x v="0"/>
    <d v="2024-11-03T00:00:00"/>
    <x v="0"/>
    <x v="0"/>
    <x v="1"/>
    <x v="0"/>
    <x v="0"/>
    <s v="Yes"/>
    <n v="20"/>
    <n v="3"/>
    <n v="62"/>
  </r>
  <r>
    <n v="3483"/>
    <x v="241"/>
    <x v="2"/>
    <d v="2024-11-04T00:00:00"/>
    <x v="1"/>
    <x v="2"/>
    <x v="0"/>
    <x v="1"/>
    <x v="1"/>
    <s v="Yes"/>
    <n v="20"/>
    <n v="10"/>
    <n v="20"/>
  </r>
  <r>
    <n v="3484"/>
    <x v="242"/>
    <x v="1"/>
    <d v="2024-11-05T00:00:00"/>
    <x v="0"/>
    <x v="1"/>
    <x v="2"/>
    <x v="1"/>
    <x v="1"/>
    <s v="No"/>
    <n v="0"/>
    <n v="0"/>
    <n v="5"/>
  </r>
  <r>
    <n v="3485"/>
    <x v="243"/>
    <x v="0"/>
    <d v="2024-11-06T00:00:00"/>
    <x v="1"/>
    <x v="0"/>
    <x v="0"/>
    <x v="0"/>
    <x v="0"/>
    <s v="Yes"/>
    <n v="20"/>
    <n v="15"/>
    <n v="50"/>
  </r>
  <r>
    <n v="3486"/>
    <x v="244"/>
    <x v="1"/>
    <d v="2024-11-07T00:00:00"/>
    <x v="0"/>
    <x v="1"/>
    <x v="0"/>
    <x v="1"/>
    <x v="1"/>
    <s v="No"/>
    <n v="0"/>
    <n v="0"/>
    <n v="5"/>
  </r>
  <r>
    <n v="3487"/>
    <x v="245"/>
    <x v="0"/>
    <d v="2024-11-08T00:00:00"/>
    <x v="1"/>
    <x v="0"/>
    <x v="2"/>
    <x v="0"/>
    <x v="0"/>
    <s v="Yes"/>
    <n v="20"/>
    <n v="7"/>
    <n v="58"/>
  </r>
  <r>
    <n v="3488"/>
    <x v="246"/>
    <x v="2"/>
    <d v="2024-11-09T00:00:00"/>
    <x v="0"/>
    <x v="2"/>
    <x v="1"/>
    <x v="1"/>
    <x v="1"/>
    <s v="Yes"/>
    <n v="20"/>
    <n v="10"/>
    <n v="20"/>
  </r>
  <r>
    <n v="3489"/>
    <x v="247"/>
    <x v="1"/>
    <d v="2024-11-10T00:00:00"/>
    <x v="1"/>
    <x v="1"/>
    <x v="2"/>
    <x v="1"/>
    <x v="1"/>
    <s v="No"/>
    <n v="0"/>
    <n v="1"/>
    <n v="4"/>
  </r>
  <r>
    <n v="3490"/>
    <x v="248"/>
    <x v="0"/>
    <d v="2024-11-11T00:00:00"/>
    <x v="0"/>
    <x v="0"/>
    <x v="0"/>
    <x v="0"/>
    <x v="0"/>
    <s v="Yes"/>
    <n v="20"/>
    <n v="15"/>
    <n v="50"/>
  </r>
  <r>
    <n v="3491"/>
    <x v="249"/>
    <x v="2"/>
    <d v="2024-11-12T00:00:00"/>
    <x v="1"/>
    <x v="2"/>
    <x v="0"/>
    <x v="1"/>
    <x v="1"/>
    <s v="Yes"/>
    <n v="20"/>
    <n v="5"/>
    <n v="25"/>
  </r>
  <r>
    <n v="3492"/>
    <x v="250"/>
    <x v="1"/>
    <d v="2024-11-13T00:00:00"/>
    <x v="0"/>
    <x v="1"/>
    <x v="1"/>
    <x v="1"/>
    <x v="1"/>
    <s v="No"/>
    <n v="0"/>
    <n v="0"/>
    <n v="5"/>
  </r>
  <r>
    <n v="3493"/>
    <x v="251"/>
    <x v="0"/>
    <d v="2024-11-14T00:00:00"/>
    <x v="1"/>
    <x v="0"/>
    <x v="2"/>
    <x v="0"/>
    <x v="0"/>
    <s v="Yes"/>
    <n v="20"/>
    <n v="20"/>
    <n v="45"/>
  </r>
  <r>
    <n v="3494"/>
    <x v="252"/>
    <x v="2"/>
    <d v="2024-11-15T00:00:00"/>
    <x v="0"/>
    <x v="2"/>
    <x v="2"/>
    <x v="1"/>
    <x v="1"/>
    <s v="Yes"/>
    <n v="20"/>
    <n v="12"/>
    <n v="18"/>
  </r>
  <r>
    <n v="3495"/>
    <x v="253"/>
    <x v="1"/>
    <d v="2024-11-16T00:00:00"/>
    <x v="1"/>
    <x v="1"/>
    <x v="0"/>
    <x v="1"/>
    <x v="1"/>
    <s v="No"/>
    <n v="0"/>
    <n v="2"/>
    <n v="3"/>
  </r>
  <r>
    <n v="3496"/>
    <x v="254"/>
    <x v="0"/>
    <d v="2024-11-17T00:00:00"/>
    <x v="0"/>
    <x v="0"/>
    <x v="1"/>
    <x v="0"/>
    <x v="0"/>
    <s v="Yes"/>
    <n v="20"/>
    <n v="5"/>
    <n v="60"/>
  </r>
  <r>
    <n v="3497"/>
    <x v="255"/>
    <x v="2"/>
    <d v="2024-11-18T00:00:00"/>
    <x v="1"/>
    <x v="2"/>
    <x v="0"/>
    <x v="1"/>
    <x v="1"/>
    <s v="Yes"/>
    <n v="20"/>
    <n v="10"/>
    <n v="20"/>
  </r>
  <r>
    <n v="3498"/>
    <x v="256"/>
    <x v="1"/>
    <d v="2024-11-19T00:00:00"/>
    <x v="0"/>
    <x v="1"/>
    <x v="2"/>
    <x v="1"/>
    <x v="1"/>
    <s v="No"/>
    <n v="0"/>
    <n v="0"/>
    <n v="5"/>
  </r>
  <r>
    <n v="3499"/>
    <x v="257"/>
    <x v="0"/>
    <d v="2024-11-20T00:00:00"/>
    <x v="1"/>
    <x v="0"/>
    <x v="0"/>
    <x v="0"/>
    <x v="0"/>
    <s v="Yes"/>
    <n v="20"/>
    <n v="3"/>
    <n v="62"/>
  </r>
  <r>
    <n v="3500"/>
    <x v="258"/>
    <x v="2"/>
    <d v="2024-11-21T00:00:00"/>
    <x v="0"/>
    <x v="2"/>
    <x v="1"/>
    <x v="1"/>
    <x v="1"/>
    <s v="Yes"/>
    <n v="20"/>
    <n v="15"/>
    <n v="15"/>
  </r>
  <r>
    <n v="3501"/>
    <x v="259"/>
    <x v="1"/>
    <d v="2024-11-22T00:00:00"/>
    <x v="1"/>
    <x v="1"/>
    <x v="0"/>
    <x v="1"/>
    <x v="1"/>
    <s v="No"/>
    <n v="0"/>
    <n v="1"/>
    <n v="4"/>
  </r>
  <r>
    <n v="3502"/>
    <x v="260"/>
    <x v="0"/>
    <d v="2024-11-23T00:00:00"/>
    <x v="0"/>
    <x v="0"/>
    <x v="2"/>
    <x v="0"/>
    <x v="0"/>
    <s v="Yes"/>
    <n v="20"/>
    <n v="7"/>
    <n v="58"/>
  </r>
  <r>
    <n v="3503"/>
    <x v="119"/>
    <x v="2"/>
    <d v="2024-11-24T00:00:00"/>
    <x v="1"/>
    <x v="2"/>
    <x v="0"/>
    <x v="1"/>
    <x v="1"/>
    <s v="Yes"/>
    <n v="20"/>
    <n v="10"/>
    <n v="20"/>
  </r>
  <r>
    <n v="3504"/>
    <x v="261"/>
    <x v="1"/>
    <d v="2024-11-25T00:00:00"/>
    <x v="0"/>
    <x v="1"/>
    <x v="1"/>
    <x v="1"/>
    <x v="1"/>
    <s v="No"/>
    <n v="0"/>
    <n v="0"/>
    <n v="5"/>
  </r>
  <r>
    <n v="3505"/>
    <x v="262"/>
    <x v="0"/>
    <d v="2024-11-26T00:00:00"/>
    <x v="1"/>
    <x v="0"/>
    <x v="0"/>
    <x v="0"/>
    <x v="0"/>
    <s v="Yes"/>
    <n v="20"/>
    <n v="20"/>
    <n v="45"/>
  </r>
  <r>
    <n v="3506"/>
    <x v="263"/>
    <x v="2"/>
    <d v="2024-11-27T00:00:00"/>
    <x v="0"/>
    <x v="2"/>
    <x v="2"/>
    <x v="1"/>
    <x v="1"/>
    <s v="Yes"/>
    <n v="20"/>
    <n v="15"/>
    <n v="15"/>
  </r>
  <r>
    <n v="3507"/>
    <x v="264"/>
    <x v="1"/>
    <d v="2024-11-28T00:00:00"/>
    <x v="1"/>
    <x v="1"/>
    <x v="0"/>
    <x v="1"/>
    <x v="1"/>
    <s v="No"/>
    <n v="0"/>
    <n v="1"/>
    <n v="4"/>
  </r>
  <r>
    <n v="3508"/>
    <x v="265"/>
    <x v="0"/>
    <d v="2024-11-29T00:00:00"/>
    <x v="0"/>
    <x v="0"/>
    <x v="1"/>
    <x v="0"/>
    <x v="0"/>
    <s v="Yes"/>
    <n v="20"/>
    <n v="3"/>
    <n v="62"/>
  </r>
  <r>
    <n v="3509"/>
    <x v="266"/>
    <x v="2"/>
    <d v="2024-11-30T00:00:00"/>
    <x v="1"/>
    <x v="2"/>
    <x v="0"/>
    <x v="1"/>
    <x v="1"/>
    <s v="Yes"/>
    <n v="20"/>
    <n v="10"/>
    <n v="20"/>
  </r>
  <r>
    <n v="3510"/>
    <x v="267"/>
    <x v="1"/>
    <d v="2024-12-01T00:00:00"/>
    <x v="0"/>
    <x v="1"/>
    <x v="2"/>
    <x v="1"/>
    <x v="1"/>
    <s v="No"/>
    <n v="0"/>
    <n v="0"/>
    <n v="5"/>
  </r>
  <r>
    <n v="3511"/>
    <x v="268"/>
    <x v="0"/>
    <d v="2024-12-02T00:00:00"/>
    <x v="1"/>
    <x v="0"/>
    <x v="0"/>
    <x v="0"/>
    <x v="0"/>
    <s v="Yes"/>
    <n v="20"/>
    <n v="15"/>
    <n v="50"/>
  </r>
  <r>
    <n v="3512"/>
    <x v="269"/>
    <x v="2"/>
    <d v="2024-12-03T00:00:00"/>
    <x v="0"/>
    <x v="2"/>
    <x v="1"/>
    <x v="1"/>
    <x v="1"/>
    <s v="Yes"/>
    <n v="20"/>
    <n v="15"/>
    <n v="15"/>
  </r>
  <r>
    <n v="3513"/>
    <x v="270"/>
    <x v="1"/>
    <d v="2024-12-04T00:00:00"/>
    <x v="1"/>
    <x v="1"/>
    <x v="0"/>
    <x v="1"/>
    <x v="1"/>
    <s v="No"/>
    <n v="0"/>
    <n v="1"/>
    <n v="4"/>
  </r>
  <r>
    <n v="3514"/>
    <x v="271"/>
    <x v="0"/>
    <d v="2024-12-05T00:00:00"/>
    <x v="0"/>
    <x v="0"/>
    <x v="2"/>
    <x v="0"/>
    <x v="0"/>
    <s v="Yes"/>
    <n v="20"/>
    <n v="7"/>
    <n v="58"/>
  </r>
  <r>
    <n v="3515"/>
    <x v="130"/>
    <x v="2"/>
    <d v="2024-12-06T00:00:00"/>
    <x v="1"/>
    <x v="2"/>
    <x v="0"/>
    <x v="1"/>
    <x v="1"/>
    <s v="Yes"/>
    <n v="20"/>
    <n v="10"/>
    <n v="20"/>
  </r>
  <r>
    <n v="3516"/>
    <x v="131"/>
    <x v="1"/>
    <d v="2024-12-07T00:00:00"/>
    <x v="0"/>
    <x v="1"/>
    <x v="1"/>
    <x v="1"/>
    <x v="1"/>
    <s v="No"/>
    <n v="0"/>
    <n v="0"/>
    <n v="5"/>
  </r>
  <r>
    <n v="3517"/>
    <x v="181"/>
    <x v="0"/>
    <d v="2024-12-08T00:00:00"/>
    <x v="1"/>
    <x v="0"/>
    <x v="0"/>
    <x v="0"/>
    <x v="0"/>
    <s v="Yes"/>
    <n v="20"/>
    <n v="20"/>
    <n v="45"/>
  </r>
  <r>
    <n v="3518"/>
    <x v="272"/>
    <x v="2"/>
    <d v="2024-12-09T00:00:00"/>
    <x v="0"/>
    <x v="2"/>
    <x v="2"/>
    <x v="1"/>
    <x v="1"/>
    <s v="Yes"/>
    <n v="20"/>
    <n v="12"/>
    <n v="18"/>
  </r>
  <r>
    <n v="3519"/>
    <x v="273"/>
    <x v="1"/>
    <d v="2024-12-10T00:00:00"/>
    <x v="1"/>
    <x v="1"/>
    <x v="0"/>
    <x v="1"/>
    <x v="1"/>
    <s v="No"/>
    <n v="0"/>
    <n v="2"/>
    <n v="3"/>
  </r>
  <r>
    <n v="3520"/>
    <x v="274"/>
    <x v="0"/>
    <d v="2024-12-11T00:00:00"/>
    <x v="0"/>
    <x v="0"/>
    <x v="1"/>
    <x v="0"/>
    <x v="0"/>
    <s v="Yes"/>
    <n v="20"/>
    <n v="5"/>
    <n v="60"/>
  </r>
  <r>
    <n v="3521"/>
    <x v="275"/>
    <x v="2"/>
    <d v="2024-12-12T00:00:00"/>
    <x v="1"/>
    <x v="2"/>
    <x v="0"/>
    <x v="1"/>
    <x v="1"/>
    <s v="Yes"/>
    <n v="20"/>
    <n v="10"/>
    <n v="20"/>
  </r>
  <r>
    <n v="3522"/>
    <x v="276"/>
    <x v="1"/>
    <d v="2024-12-13T00:00:00"/>
    <x v="0"/>
    <x v="1"/>
    <x v="2"/>
    <x v="1"/>
    <x v="1"/>
    <s v="No"/>
    <n v="0"/>
    <n v="0"/>
    <n v="5"/>
  </r>
  <r>
    <n v="3523"/>
    <x v="277"/>
    <x v="0"/>
    <d v="2024-12-14T00:00:00"/>
    <x v="1"/>
    <x v="0"/>
    <x v="0"/>
    <x v="0"/>
    <x v="0"/>
    <s v="Yes"/>
    <n v="20"/>
    <n v="3"/>
    <n v="62"/>
  </r>
  <r>
    <n v="3524"/>
    <x v="278"/>
    <x v="2"/>
    <d v="2024-12-15T00:00:00"/>
    <x v="0"/>
    <x v="2"/>
    <x v="1"/>
    <x v="1"/>
    <x v="1"/>
    <s v="Yes"/>
    <n v="20"/>
    <n v="15"/>
    <n v="15"/>
  </r>
  <r>
    <n v="3525"/>
    <x v="279"/>
    <x v="1"/>
    <d v="2024-12-16T00:00:00"/>
    <x v="1"/>
    <x v="1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455B4-E4B0-4151-9008-F4D9C03AE209}" name="Tabela dinâmica3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1:C3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DF233A-B34E-4F30-BF9D-0B36D9A99826}" name="Tbl_easeasonpass_total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3118A8-B7B1-4B17-96AD-EDDF8293E03B}" name="tbl_anual_total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10:C1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2A45734-0C77-41AC-B574-2DC0ADA52404}" sourceName="Subscription Type">
  <pivotTables>
    <pivotTable tabId="1" name="tbl_anual_total"/>
    <pivotTable tabId="1" name="Tbl_easeasonpass_total"/>
    <pivotTable tabId="1" name="Tabela dinâmica3"/>
  </pivotTables>
  <data>
    <tabular pivotCacheId="54348525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12A3347-359E-4E31-9420-9776CD8CCA34}" cache="SegmentaçãodeDados_Subscription_Type" caption="Subscription Type" style="SlicerStyleDark6 2" rowHeight="23495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A6A5A-1316-4151-968A-17734DB3F5FA}">
  <dimension ref="B8:G35"/>
  <sheetViews>
    <sheetView topLeftCell="A13" workbookViewId="0">
      <selection activeCell="G35" sqref="G35"/>
    </sheetView>
  </sheetViews>
  <sheetFormatPr defaultRowHeight="14.4" x14ac:dyDescent="0.3"/>
  <cols>
    <col min="2" max="2" width="17.21875" bestFit="1" customWidth="1"/>
    <col min="3" max="3" width="32.6640625" bestFit="1" customWidth="1"/>
    <col min="4" max="4" width="8.6640625" bestFit="1" customWidth="1"/>
    <col min="5" max="5" width="8.21875" bestFit="1" customWidth="1"/>
    <col min="6" max="6" width="10" bestFit="1" customWidth="1"/>
    <col min="7" max="7" width="14.6640625" customWidth="1"/>
  </cols>
  <sheetData>
    <row r="8" spans="2:3" x14ac:dyDescent="0.3">
      <c r="B8" s="1" t="s">
        <v>0</v>
      </c>
      <c r="C8" t="s">
        <v>3</v>
      </c>
    </row>
    <row r="10" spans="2:3" x14ac:dyDescent="0.3">
      <c r="B10" s="1" t="s">
        <v>1</v>
      </c>
      <c r="C10" t="s">
        <v>4</v>
      </c>
    </row>
    <row r="11" spans="2:3" x14ac:dyDescent="0.3">
      <c r="B11" s="2" t="s">
        <v>5</v>
      </c>
      <c r="C11" s="3">
        <v>806</v>
      </c>
    </row>
    <row r="12" spans="2:3" x14ac:dyDescent="0.3">
      <c r="B12" s="2" t="s">
        <v>6</v>
      </c>
      <c r="C12" s="3">
        <v>1502</v>
      </c>
    </row>
    <row r="13" spans="2:3" x14ac:dyDescent="0.3">
      <c r="B13" s="2" t="s">
        <v>2</v>
      </c>
      <c r="C13" s="3">
        <v>2308</v>
      </c>
    </row>
    <row r="16" spans="2:3" x14ac:dyDescent="0.3">
      <c r="B16" s="2" t="s">
        <v>7</v>
      </c>
    </row>
    <row r="18" spans="2:7" x14ac:dyDescent="0.3">
      <c r="B18" s="1" t="s">
        <v>0</v>
      </c>
      <c r="C18" t="s">
        <v>3</v>
      </c>
    </row>
    <row r="20" spans="2:7" x14ac:dyDescent="0.3">
      <c r="B20" s="1" t="s">
        <v>1</v>
      </c>
      <c r="C20" t="s">
        <v>11</v>
      </c>
    </row>
    <row r="21" spans="2:7" x14ac:dyDescent="0.3">
      <c r="B21" s="2" t="s">
        <v>8</v>
      </c>
      <c r="C21" s="7">
        <v>0</v>
      </c>
    </row>
    <row r="22" spans="2:7" x14ac:dyDescent="0.3">
      <c r="B22" s="2" t="s">
        <v>9</v>
      </c>
      <c r="C22" s="7">
        <v>0</v>
      </c>
    </row>
    <row r="23" spans="2:7" x14ac:dyDescent="0.3">
      <c r="B23" s="2" t="s">
        <v>10</v>
      </c>
      <c r="C23" s="7">
        <v>990</v>
      </c>
    </row>
    <row r="24" spans="2:7" x14ac:dyDescent="0.3">
      <c r="B24" s="2" t="s">
        <v>2</v>
      </c>
      <c r="C24" s="7">
        <v>990</v>
      </c>
      <c r="G24" s="8">
        <f>GETPIVOTDATA("EA Play Season Pass
Price",$B$20)</f>
        <v>990</v>
      </c>
    </row>
    <row r="27" spans="2:7" x14ac:dyDescent="0.3">
      <c r="B27" s="2" t="s">
        <v>12</v>
      </c>
    </row>
    <row r="29" spans="2:7" x14ac:dyDescent="0.3">
      <c r="B29" s="1" t="s">
        <v>0</v>
      </c>
      <c r="C29" t="s">
        <v>3</v>
      </c>
    </row>
    <row r="31" spans="2:7" x14ac:dyDescent="0.3">
      <c r="B31" s="1" t="s">
        <v>1</v>
      </c>
      <c r="C31" t="s">
        <v>13</v>
      </c>
    </row>
    <row r="32" spans="2:7" x14ac:dyDescent="0.3">
      <c r="B32" s="2" t="s">
        <v>8</v>
      </c>
      <c r="C32" s="3">
        <v>0</v>
      </c>
    </row>
    <row r="33" spans="2:7" x14ac:dyDescent="0.3">
      <c r="B33" s="2" t="s">
        <v>9</v>
      </c>
      <c r="C33" s="3">
        <v>480</v>
      </c>
    </row>
    <row r="34" spans="2:7" x14ac:dyDescent="0.3">
      <c r="B34" s="2" t="s">
        <v>10</v>
      </c>
      <c r="C34" s="3">
        <v>660</v>
      </c>
    </row>
    <row r="35" spans="2:7" x14ac:dyDescent="0.3">
      <c r="B35" s="2" t="s">
        <v>2</v>
      </c>
      <c r="C35" s="3">
        <v>1140</v>
      </c>
      <c r="G35" s="8">
        <f>GETPIVOTDATA("Minecraft Season Pass Price",$B$31)</f>
        <v>1140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FE9D-B837-4E25-9E08-F21C1109EA81}">
  <dimension ref="A3:P73"/>
  <sheetViews>
    <sheetView showGridLines="0" showRowColHeaders="0" tabSelected="1" zoomScaleNormal="100" workbookViewId="0">
      <selection activeCell="S7" sqref="S7"/>
    </sheetView>
  </sheetViews>
  <sheetFormatPr defaultRowHeight="14.4" x14ac:dyDescent="0.3"/>
  <cols>
    <col min="1" max="1" width="25.44140625" style="4" customWidth="1"/>
  </cols>
  <sheetData>
    <row r="3" spans="1:16" ht="21.6" customHeight="1" thickBot="1" x14ac:dyDescent="0.35">
      <c r="B3" s="6" t="s">
        <v>14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15.6" customHeight="1" thickTop="1" x14ac:dyDescent="0.3"/>
    <row r="5" spans="1:16" ht="15.6" customHeight="1" x14ac:dyDescent="0.3">
      <c r="C5" s="10" t="s">
        <v>15</v>
      </c>
    </row>
    <row r="6" spans="1:16" s="5" customFormat="1" x14ac:dyDescent="0.3">
      <c r="A6" s="4"/>
    </row>
    <row r="7" spans="1:16" s="5" customFormat="1" x14ac:dyDescent="0.3">
      <c r="A7" s="4"/>
    </row>
    <row r="8" spans="1:16" s="5" customFormat="1" x14ac:dyDescent="0.3">
      <c r="A8" s="9"/>
    </row>
    <row r="9" spans="1:16" s="5" customFormat="1" x14ac:dyDescent="0.3">
      <c r="A9" s="4"/>
    </row>
    <row r="10" spans="1:16" s="5" customFormat="1" x14ac:dyDescent="0.3">
      <c r="A10" s="4"/>
    </row>
    <row r="11" spans="1:16" s="5" customFormat="1" x14ac:dyDescent="0.3">
      <c r="A11" s="4"/>
    </row>
    <row r="12" spans="1:16" s="5" customFormat="1" x14ac:dyDescent="0.3">
      <c r="A12" s="4"/>
    </row>
    <row r="13" spans="1:16" s="5" customFormat="1" x14ac:dyDescent="0.3">
      <c r="A13" s="4"/>
    </row>
    <row r="14" spans="1:16" s="5" customFormat="1" x14ac:dyDescent="0.3">
      <c r="A14" s="4"/>
    </row>
    <row r="15" spans="1:16" s="5" customFormat="1" x14ac:dyDescent="0.3">
      <c r="A15" s="4"/>
    </row>
    <row r="16" spans="1:16" s="5" customFormat="1" x14ac:dyDescent="0.3">
      <c r="A16" s="4"/>
    </row>
    <row r="17" spans="1:1" s="5" customFormat="1" x14ac:dyDescent="0.3">
      <c r="A17" s="4"/>
    </row>
    <row r="18" spans="1:1" s="5" customFormat="1" x14ac:dyDescent="0.3">
      <c r="A18" s="4"/>
    </row>
    <row r="19" spans="1:1" s="5" customFormat="1" x14ac:dyDescent="0.3">
      <c r="A19" s="4"/>
    </row>
    <row r="20" spans="1:1" s="5" customFormat="1" x14ac:dyDescent="0.3">
      <c r="A20" s="4"/>
    </row>
    <row r="21" spans="1:1" s="5" customFormat="1" x14ac:dyDescent="0.3">
      <c r="A21" s="4"/>
    </row>
    <row r="22" spans="1:1" s="5" customFormat="1" x14ac:dyDescent="0.3">
      <c r="A22" s="4"/>
    </row>
    <row r="23" spans="1:1" s="5" customFormat="1" x14ac:dyDescent="0.3">
      <c r="A23" s="4"/>
    </row>
    <row r="24" spans="1:1" s="5" customFormat="1" x14ac:dyDescent="0.3">
      <c r="A24" s="4"/>
    </row>
    <row r="25" spans="1:1" s="5" customFormat="1" x14ac:dyDescent="0.3">
      <c r="A25" s="4"/>
    </row>
    <row r="26" spans="1:1" s="5" customFormat="1" x14ac:dyDescent="0.3">
      <c r="A26" s="4"/>
    </row>
    <row r="27" spans="1:1" s="5" customFormat="1" x14ac:dyDescent="0.3">
      <c r="A27" s="4"/>
    </row>
    <row r="28" spans="1:1" s="5" customFormat="1" x14ac:dyDescent="0.3">
      <c r="A28" s="4"/>
    </row>
    <row r="29" spans="1:1" s="5" customFormat="1" x14ac:dyDescent="0.3">
      <c r="A29" s="4"/>
    </row>
    <row r="30" spans="1:1" s="5" customFormat="1" x14ac:dyDescent="0.3">
      <c r="A30" s="4"/>
    </row>
    <row r="31" spans="1:1" s="5" customFormat="1" x14ac:dyDescent="0.3">
      <c r="A31" s="4"/>
    </row>
    <row r="32" spans="1:1" s="5" customFormat="1" x14ac:dyDescent="0.3">
      <c r="A32" s="4"/>
    </row>
    <row r="33" spans="1:1" s="5" customFormat="1" x14ac:dyDescent="0.3">
      <c r="A33" s="4"/>
    </row>
    <row r="34" spans="1:1" s="5" customFormat="1" x14ac:dyDescent="0.3">
      <c r="A34" s="4"/>
    </row>
    <row r="35" spans="1:1" s="5" customFormat="1" x14ac:dyDescent="0.3">
      <c r="A35" s="4"/>
    </row>
    <row r="36" spans="1:1" s="5" customFormat="1" x14ac:dyDescent="0.3">
      <c r="A36" s="4"/>
    </row>
    <row r="37" spans="1:1" s="5" customFormat="1" x14ac:dyDescent="0.3">
      <c r="A37" s="4"/>
    </row>
    <row r="38" spans="1:1" s="5" customFormat="1" x14ac:dyDescent="0.3">
      <c r="A38" s="4"/>
    </row>
    <row r="39" spans="1:1" s="5" customFormat="1" x14ac:dyDescent="0.3">
      <c r="A39" s="4"/>
    </row>
    <row r="40" spans="1:1" s="5" customFormat="1" x14ac:dyDescent="0.3">
      <c r="A40" s="4"/>
    </row>
    <row r="41" spans="1:1" s="5" customFormat="1" x14ac:dyDescent="0.3">
      <c r="A41" s="4"/>
    </row>
    <row r="42" spans="1:1" s="5" customFormat="1" x14ac:dyDescent="0.3">
      <c r="A42" s="4"/>
    </row>
    <row r="43" spans="1:1" s="5" customFormat="1" x14ac:dyDescent="0.3">
      <c r="A43" s="4"/>
    </row>
    <row r="44" spans="1:1" s="5" customFormat="1" x14ac:dyDescent="0.3">
      <c r="A44" s="4"/>
    </row>
    <row r="45" spans="1:1" s="5" customFormat="1" x14ac:dyDescent="0.3">
      <c r="A45" s="4"/>
    </row>
    <row r="46" spans="1:1" s="5" customFormat="1" x14ac:dyDescent="0.3">
      <c r="A46" s="4"/>
    </row>
    <row r="47" spans="1:1" s="5" customFormat="1" x14ac:dyDescent="0.3">
      <c r="A47" s="4"/>
    </row>
    <row r="48" spans="1:1" s="5" customFormat="1" x14ac:dyDescent="0.3">
      <c r="A48" s="4"/>
    </row>
    <row r="49" spans="1:1" s="5" customFormat="1" x14ac:dyDescent="0.3">
      <c r="A49" s="4"/>
    </row>
    <row r="50" spans="1:1" s="5" customFormat="1" x14ac:dyDescent="0.3">
      <c r="A50" s="4"/>
    </row>
    <row r="51" spans="1:1" s="5" customFormat="1" x14ac:dyDescent="0.3">
      <c r="A51" s="4"/>
    </row>
    <row r="52" spans="1:1" s="5" customFormat="1" x14ac:dyDescent="0.3">
      <c r="A52" s="4"/>
    </row>
    <row r="53" spans="1:1" s="5" customFormat="1" x14ac:dyDescent="0.3">
      <c r="A53" s="4"/>
    </row>
    <row r="54" spans="1:1" s="5" customFormat="1" x14ac:dyDescent="0.3">
      <c r="A54" s="4"/>
    </row>
    <row r="55" spans="1:1" s="5" customFormat="1" x14ac:dyDescent="0.3">
      <c r="A55" s="4"/>
    </row>
    <row r="56" spans="1:1" s="5" customFormat="1" x14ac:dyDescent="0.3">
      <c r="A56" s="4"/>
    </row>
    <row r="57" spans="1:1" s="5" customFormat="1" x14ac:dyDescent="0.3">
      <c r="A57" s="4"/>
    </row>
    <row r="58" spans="1:1" s="5" customFormat="1" x14ac:dyDescent="0.3">
      <c r="A58" s="4"/>
    </row>
    <row r="59" spans="1:1" s="5" customFormat="1" x14ac:dyDescent="0.3">
      <c r="A59" s="4"/>
    </row>
    <row r="60" spans="1:1" s="5" customFormat="1" x14ac:dyDescent="0.3">
      <c r="A60" s="4"/>
    </row>
    <row r="61" spans="1:1" s="5" customFormat="1" x14ac:dyDescent="0.3">
      <c r="A61" s="4"/>
    </row>
    <row r="62" spans="1:1" s="5" customFormat="1" x14ac:dyDescent="0.3">
      <c r="A62" s="4"/>
    </row>
    <row r="63" spans="1:1" s="5" customFormat="1" x14ac:dyDescent="0.3">
      <c r="A63" s="4"/>
    </row>
    <row r="64" spans="1:1" s="5" customFormat="1" x14ac:dyDescent="0.3">
      <c r="A64" s="4"/>
    </row>
    <row r="65" spans="1:1" s="5" customFormat="1" x14ac:dyDescent="0.3">
      <c r="A65" s="4"/>
    </row>
    <row r="66" spans="1:1" s="5" customFormat="1" x14ac:dyDescent="0.3">
      <c r="A66" s="4"/>
    </row>
    <row r="67" spans="1:1" s="5" customFormat="1" x14ac:dyDescent="0.3">
      <c r="A67" s="4"/>
    </row>
    <row r="68" spans="1:1" s="5" customFormat="1" x14ac:dyDescent="0.3">
      <c r="A68" s="4"/>
    </row>
    <row r="69" spans="1:1" s="5" customFormat="1" x14ac:dyDescent="0.3">
      <c r="A69" s="4"/>
    </row>
    <row r="70" spans="1:1" s="5" customFormat="1" x14ac:dyDescent="0.3">
      <c r="A70" s="4"/>
    </row>
    <row r="71" spans="1:1" s="5" customFormat="1" x14ac:dyDescent="0.3">
      <c r="A71" s="4"/>
    </row>
    <row r="72" spans="1:1" s="5" customFormat="1" x14ac:dyDescent="0.3">
      <c r="A72" s="4"/>
    </row>
    <row r="73" spans="1:1" s="5" customFormat="1" x14ac:dyDescent="0.3">
      <c r="A73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572A4-74C9-4AA5-937D-7B2695557CC4}">
  <dimension ref="A1"/>
  <sheetViews>
    <sheetView workbookViewId="0">
      <selection activeCell="S11" sqref="S11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Calculos</vt:lpstr>
      <vt:lpstr>Dashboard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Leidiane Amaral</dc:creator>
  <cp:lastModifiedBy>Leidiane Amaral</cp:lastModifiedBy>
  <dcterms:created xsi:type="dcterms:W3CDTF">2026-09-12T14:35:42Z</dcterms:created>
  <dcterms:modified xsi:type="dcterms:W3CDTF">2026-09-12T20:11:43Z</dcterms:modified>
</cp:coreProperties>
</file>